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yogesh/Downloads/"/>
    </mc:Choice>
  </mc:AlternateContent>
  <xr:revisionPtr revIDLastSave="0" documentId="13_ncr:1_{318CDE9C-D4C4-CD4F-9908-6350E006D534}" xr6:coauthVersionLast="47" xr6:coauthVersionMax="47" xr10:uidLastSave="{00000000-0000-0000-0000-000000000000}"/>
  <bookViews>
    <workbookView xWindow="0" yWindow="780" windowWidth="34200" windowHeight="21460" tabRatio="500" xr2:uid="{00000000-000D-0000-FFFF-FFFF00000000}"/>
  </bookViews>
  <sheets>
    <sheet name="Deployed Projec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Y130" i="1" l="1"/>
  <c r="X130" i="1"/>
  <c r="W130" i="1"/>
  <c r="Y129" i="1"/>
  <c r="X129" i="1"/>
  <c r="W129" i="1"/>
  <c r="Y128" i="1"/>
  <c r="X128" i="1"/>
  <c r="W128" i="1"/>
  <c r="Y127" i="1"/>
  <c r="X127" i="1"/>
  <c r="W127" i="1"/>
  <c r="Y126" i="1"/>
  <c r="X126" i="1"/>
  <c r="W126" i="1"/>
  <c r="Y125" i="1"/>
  <c r="X125" i="1"/>
  <c r="W125" i="1"/>
  <c r="Y124" i="1"/>
  <c r="X124" i="1"/>
  <c r="W124" i="1"/>
  <c r="Y123" i="1"/>
  <c r="X123" i="1"/>
  <c r="W123" i="1"/>
  <c r="Y122" i="1"/>
  <c r="X122" i="1"/>
  <c r="W122" i="1"/>
  <c r="Y121" i="1"/>
  <c r="X121" i="1"/>
  <c r="W121" i="1"/>
  <c r="Y120" i="1"/>
  <c r="X120" i="1"/>
  <c r="W120" i="1"/>
  <c r="Y119" i="1"/>
  <c r="X119" i="1"/>
  <c r="W119" i="1"/>
  <c r="Y118" i="1"/>
  <c r="X118" i="1"/>
  <c r="W118" i="1"/>
  <c r="Y117" i="1"/>
  <c r="X117" i="1"/>
  <c r="W117" i="1"/>
  <c r="Y116" i="1"/>
  <c r="X116" i="1"/>
  <c r="W116" i="1"/>
  <c r="Y115" i="1"/>
  <c r="X115" i="1"/>
  <c r="W115" i="1"/>
  <c r="Y114" i="1"/>
  <c r="X114" i="1"/>
  <c r="W114" i="1"/>
  <c r="Y113" i="1"/>
  <c r="X113" i="1"/>
  <c r="W113" i="1"/>
  <c r="Y112" i="1"/>
  <c r="X112" i="1"/>
  <c r="W112" i="1"/>
  <c r="Y111" i="1"/>
  <c r="X111" i="1"/>
  <c r="W111" i="1"/>
  <c r="Y110" i="1"/>
  <c r="X110" i="1"/>
  <c r="W110" i="1"/>
  <c r="Y109" i="1"/>
  <c r="X109" i="1"/>
  <c r="W109" i="1"/>
  <c r="Y108" i="1"/>
  <c r="X108" i="1"/>
  <c r="W108" i="1"/>
  <c r="Y107" i="1"/>
  <c r="X107" i="1"/>
  <c r="W107" i="1"/>
  <c r="Y106" i="1"/>
  <c r="X106" i="1"/>
  <c r="W106" i="1"/>
  <c r="Y105" i="1"/>
  <c r="X105" i="1"/>
  <c r="W105" i="1"/>
  <c r="Y104" i="1"/>
  <c r="X104" i="1"/>
  <c r="W104" i="1"/>
  <c r="Y103" i="1"/>
  <c r="X103" i="1"/>
  <c r="W103" i="1"/>
  <c r="Y102" i="1"/>
  <c r="X102" i="1"/>
  <c r="W102" i="1"/>
  <c r="Y101" i="1"/>
  <c r="X101" i="1"/>
  <c r="W101" i="1"/>
  <c r="Y100" i="1"/>
  <c r="X100" i="1"/>
  <c r="W100" i="1"/>
  <c r="Y99" i="1"/>
  <c r="X99" i="1"/>
  <c r="W99" i="1"/>
  <c r="Y98" i="1"/>
  <c r="X98" i="1"/>
  <c r="W98" i="1"/>
  <c r="Y97" i="1"/>
  <c r="X97" i="1"/>
  <c r="W97" i="1"/>
  <c r="Y96" i="1"/>
  <c r="X96" i="1"/>
  <c r="W96" i="1"/>
  <c r="Y95" i="1"/>
  <c r="X95" i="1"/>
  <c r="W95" i="1"/>
  <c r="Y94" i="1"/>
  <c r="X94" i="1"/>
  <c r="W94" i="1"/>
  <c r="Y93" i="1"/>
  <c r="X93" i="1"/>
  <c r="W93" i="1"/>
  <c r="Y92" i="1"/>
  <c r="X92" i="1"/>
  <c r="W92" i="1"/>
  <c r="Y91" i="1"/>
  <c r="X91" i="1"/>
  <c r="W91" i="1"/>
  <c r="Y90" i="1"/>
  <c r="X90" i="1"/>
  <c r="W90" i="1"/>
  <c r="Y89" i="1"/>
  <c r="X89" i="1"/>
  <c r="W89" i="1"/>
  <c r="Y88" i="1"/>
  <c r="X88" i="1"/>
  <c r="W88" i="1"/>
  <c r="Y87" i="1"/>
  <c r="X87" i="1"/>
  <c r="W87" i="1"/>
  <c r="Y86" i="1"/>
  <c r="X86" i="1"/>
  <c r="W86" i="1"/>
  <c r="Y85" i="1"/>
  <c r="X85" i="1"/>
  <c r="W85" i="1"/>
  <c r="Y84" i="1"/>
  <c r="X84" i="1"/>
  <c r="W84" i="1"/>
  <c r="Y83" i="1"/>
  <c r="X83" i="1"/>
  <c r="W83" i="1"/>
  <c r="Y82" i="1"/>
  <c r="X82" i="1"/>
  <c r="W82" i="1"/>
  <c r="Y81" i="1"/>
  <c r="X81" i="1"/>
  <c r="W81" i="1"/>
  <c r="Y80" i="1"/>
  <c r="X80" i="1"/>
  <c r="W80" i="1"/>
  <c r="Y79" i="1"/>
  <c r="X79" i="1"/>
  <c r="W79" i="1"/>
  <c r="Y78" i="1"/>
  <c r="X78" i="1"/>
  <c r="W78" i="1"/>
  <c r="Y77" i="1"/>
  <c r="X77" i="1"/>
  <c r="W77" i="1"/>
  <c r="Y76" i="1"/>
  <c r="X76" i="1"/>
  <c r="W76" i="1"/>
  <c r="Y75" i="1"/>
  <c r="X75" i="1"/>
  <c r="W75" i="1"/>
  <c r="Y74" i="1"/>
  <c r="X74" i="1"/>
  <c r="W74" i="1"/>
  <c r="Y73" i="1"/>
  <c r="X73" i="1"/>
  <c r="W73" i="1"/>
  <c r="Y72" i="1"/>
  <c r="X72" i="1"/>
  <c r="W72" i="1"/>
  <c r="Y71" i="1"/>
  <c r="X71" i="1"/>
  <c r="W71" i="1"/>
  <c r="Y70" i="1"/>
  <c r="X70" i="1"/>
  <c r="W70" i="1"/>
  <c r="Y69" i="1"/>
  <c r="X69" i="1"/>
  <c r="W69" i="1"/>
  <c r="Y68" i="1"/>
  <c r="X68" i="1"/>
  <c r="W68" i="1"/>
  <c r="Y67" i="1"/>
  <c r="X67" i="1"/>
  <c r="W67" i="1"/>
  <c r="Y66" i="1"/>
  <c r="X66" i="1"/>
  <c r="W66" i="1"/>
  <c r="Y65" i="1"/>
  <c r="X65" i="1"/>
  <c r="W65" i="1"/>
  <c r="Y64" i="1"/>
  <c r="X64" i="1"/>
  <c r="W64" i="1"/>
  <c r="Y63" i="1"/>
  <c r="X63" i="1"/>
  <c r="W63" i="1"/>
  <c r="Y62" i="1"/>
  <c r="X62" i="1"/>
  <c r="W62" i="1"/>
  <c r="Y61" i="1"/>
  <c r="X61" i="1"/>
  <c r="W61" i="1"/>
  <c r="Y60" i="1"/>
  <c r="X60" i="1"/>
  <c r="W60" i="1"/>
  <c r="Y59" i="1"/>
  <c r="X59" i="1"/>
  <c r="W59" i="1"/>
  <c r="Y58" i="1"/>
  <c r="X58" i="1"/>
  <c r="W58" i="1"/>
  <c r="Y57" i="1"/>
  <c r="X57" i="1"/>
  <c r="W57" i="1"/>
  <c r="Y56" i="1"/>
  <c r="X56" i="1"/>
  <c r="W56" i="1"/>
  <c r="Y55" i="1"/>
  <c r="X55" i="1"/>
  <c r="W55" i="1"/>
  <c r="Y54" i="1"/>
  <c r="X54" i="1"/>
  <c r="W54" i="1"/>
  <c r="Y53" i="1"/>
  <c r="X53" i="1"/>
  <c r="W53" i="1"/>
  <c r="Y52" i="1"/>
  <c r="X52" i="1"/>
  <c r="W52" i="1"/>
  <c r="Y51" i="1"/>
  <c r="X51" i="1"/>
  <c r="W51" i="1"/>
  <c r="Y50" i="1"/>
  <c r="X50" i="1"/>
  <c r="W50" i="1"/>
  <c r="Y49" i="1"/>
  <c r="X49" i="1"/>
  <c r="W49" i="1"/>
  <c r="C48" i="1"/>
  <c r="W48" i="1" s="1"/>
  <c r="Y47" i="1"/>
  <c r="X47" i="1"/>
  <c r="W47" i="1"/>
  <c r="Y46" i="1"/>
  <c r="X46" i="1"/>
  <c r="W46" i="1"/>
  <c r="Y45" i="1"/>
  <c r="X45" i="1"/>
  <c r="W45" i="1"/>
  <c r="Y44" i="1"/>
  <c r="X44" i="1"/>
  <c r="W44" i="1"/>
  <c r="Y43" i="1"/>
  <c r="X43" i="1"/>
  <c r="W43" i="1"/>
  <c r="Y42" i="1"/>
  <c r="X42" i="1"/>
  <c r="W42" i="1"/>
  <c r="Y41" i="1"/>
  <c r="X41" i="1"/>
  <c r="W41" i="1"/>
  <c r="Y40" i="1"/>
  <c r="X40" i="1"/>
  <c r="W40" i="1"/>
  <c r="Y39" i="1"/>
  <c r="X39" i="1"/>
  <c r="W39" i="1"/>
  <c r="X38" i="1"/>
  <c r="W38" i="1"/>
  <c r="C38" i="1"/>
  <c r="Y38" i="1" s="1"/>
  <c r="Y37" i="1"/>
  <c r="X37" i="1"/>
  <c r="W37" i="1"/>
  <c r="Y36" i="1"/>
  <c r="X36" i="1"/>
  <c r="W36" i="1"/>
  <c r="Y35" i="1"/>
  <c r="X35" i="1"/>
  <c r="W35" i="1"/>
  <c r="Y34" i="1"/>
  <c r="W34" i="1"/>
  <c r="C34" i="1"/>
  <c r="X34" i="1" s="1"/>
  <c r="Y33" i="1"/>
  <c r="X33" i="1"/>
  <c r="W33" i="1"/>
  <c r="Y32" i="1"/>
  <c r="X32" i="1"/>
  <c r="W32" i="1"/>
  <c r="Y31" i="1"/>
  <c r="X31" i="1"/>
  <c r="W31" i="1"/>
  <c r="W30" i="1"/>
  <c r="C30" i="1"/>
  <c r="X30" i="1" s="1"/>
  <c r="X29" i="1"/>
  <c r="C29" i="1"/>
  <c r="Y29" i="1" s="1"/>
  <c r="Y28" i="1"/>
  <c r="X28" i="1"/>
  <c r="W28" i="1"/>
  <c r="Y27" i="1"/>
  <c r="X27" i="1"/>
  <c r="W27" i="1"/>
  <c r="Y26" i="1"/>
  <c r="X26" i="1"/>
  <c r="W26" i="1"/>
  <c r="Y25" i="1"/>
  <c r="X25" i="1"/>
  <c r="W25" i="1"/>
  <c r="Y24" i="1"/>
  <c r="X24" i="1"/>
  <c r="W24" i="1"/>
  <c r="Y23" i="1"/>
  <c r="X23" i="1"/>
  <c r="W23" i="1"/>
  <c r="Y22" i="1"/>
  <c r="X22" i="1"/>
  <c r="W22" i="1"/>
  <c r="C21" i="1"/>
  <c r="Y21" i="1" s="1"/>
  <c r="Y20" i="1"/>
  <c r="X20" i="1"/>
  <c r="W20" i="1"/>
  <c r="Y19" i="1"/>
  <c r="X19" i="1"/>
  <c r="W19" i="1"/>
  <c r="Y18" i="1"/>
  <c r="X18" i="1"/>
  <c r="W18" i="1"/>
  <c r="Y17" i="1"/>
  <c r="X17" i="1"/>
  <c r="W17" i="1"/>
  <c r="Y16" i="1"/>
  <c r="X16" i="1"/>
  <c r="W16" i="1"/>
  <c r="Y15" i="1"/>
  <c r="X15" i="1"/>
  <c r="W15" i="1"/>
  <c r="Y14" i="1"/>
  <c r="X14" i="1"/>
  <c r="W14" i="1"/>
  <c r="Y13" i="1"/>
  <c r="X13" i="1"/>
  <c r="W13" i="1"/>
  <c r="Y12" i="1"/>
  <c r="X12" i="1"/>
  <c r="W12" i="1"/>
  <c r="Y11" i="1"/>
  <c r="X11" i="1"/>
  <c r="W11" i="1"/>
  <c r="Y10" i="1"/>
  <c r="X10" i="1"/>
  <c r="W10" i="1"/>
  <c r="Y9" i="1"/>
  <c r="X9" i="1"/>
  <c r="W9" i="1"/>
  <c r="Y8" i="1"/>
  <c r="X8" i="1"/>
  <c r="W8" i="1"/>
  <c r="Y7" i="1"/>
  <c r="X7" i="1"/>
  <c r="W7" i="1"/>
  <c r="Y6" i="1"/>
  <c r="X6" i="1"/>
  <c r="W6" i="1"/>
  <c r="Y5" i="1"/>
  <c r="X5" i="1"/>
  <c r="W5" i="1"/>
  <c r="Y4" i="1"/>
  <c r="X4" i="1"/>
  <c r="W4" i="1"/>
  <c r="Y3" i="1"/>
  <c r="X3" i="1"/>
  <c r="W3" i="1"/>
  <c r="Y2" i="1"/>
  <c r="X2" i="1"/>
  <c r="W2" i="1"/>
  <c r="Y30" i="1" l="1"/>
  <c r="X48" i="1"/>
  <c r="Y48" i="1"/>
  <c r="W21" i="1"/>
  <c r="X21" i="1"/>
  <c r="W29" i="1"/>
</calcChain>
</file>

<file path=xl/sharedStrings.xml><?xml version="1.0" encoding="utf-8"?>
<sst xmlns="http://schemas.openxmlformats.org/spreadsheetml/2006/main" count="2304" uniqueCount="417">
  <si>
    <t>Client Name</t>
  </si>
  <si>
    <t xml:space="preserve"> Location: {CITY}, {STATE}, India</t>
  </si>
  <si>
    <t>Capacity MW</t>
  </si>
  <si>
    <t>Automatic Robots</t>
  </si>
  <si>
    <t>Semi-Automatic Robots</t>
  </si>
  <si>
    <t xml:space="preserve"> Array type:  (fixed-tilt / single-axis tracker / mixed / rooftop )</t>
  </si>
  <si>
    <t>Commissioning / year</t>
  </si>
  <si>
    <t>Soiling / environment</t>
  </si>
  <si>
    <t>O&amp;M challenge before Taypro</t>
  </si>
  <si>
    <t>Water / labour constraints</t>
  </si>
  <si>
    <t>Robot / system (e.g. GLYDE, GLYDE-X, HELYX, NYUMA)</t>
  </si>
  <si>
    <t>Cleaning mode (automatic / semi-automatic / mixed)</t>
  </si>
  <si>
    <t>Procurement model(CAPEX purchase / Taypro Opex service / both)</t>
  </si>
  <si>
    <t>Monitoring / operations: {OPERATIONS} (e.g. NECTYR fleet visibility, cycle scheduling)</t>
  </si>
  <si>
    <t>Operational outcomes</t>
  </si>
  <si>
    <t>What to highlight in the case study</t>
  </si>
  <si>
    <t>Include on the project
  (choose one or more: Automatic, Semi-Automatic, Capex)</t>
  </si>
  <si>
    <t>Primary keyword</t>
  </si>
  <si>
    <t>Secondary keywords</t>
  </si>
  <si>
    <t>ACCURACY RULES</t>
  </si>
  <si>
    <t>Assumptions allowed (yes / no — if no, omit unknown MW/location)</t>
  </si>
  <si>
    <t>Project Images Link</t>
  </si>
  <si>
    <t>Water Saved/Year</t>
  </si>
  <si>
    <t>Additional Units Generated/Year</t>
  </si>
  <si>
    <t>CO2 Saved/Year</t>
  </si>
  <si>
    <t>Avaada</t>
  </si>
  <si>
    <t>Agar, Madhya Pradesh</t>
  </si>
  <si>
    <t>Ground Mount</t>
  </si>
  <si>
    <t>High dust / arid semi-desert; heavy soiling events; significant PR loss without regular cleaning</t>
  </si>
  <si>
    <t>Large panel count made manual cleaning unscalable; high water consumption and labour costs; cleaning cycles were infrequent, causing significant energy yield loss</t>
  </si>
  <si>
    <t>Acute water scarcity; high labour cost in remote location; nearest water source far from plant</t>
  </si>
  <si>
    <t>GLYDE, NYUMA</t>
  </si>
  <si>
    <t>Mixed</t>
  </si>
  <si>
    <t>CAPEX purchase</t>
  </si>
  <si>
    <t>NECTYR fleet visibility dashboard; automated cycle scheduling; remote performance monitoring and alert management</t>
  </si>
  <si>
    <t>~28,000,000 litres/year water saved; improved cleaning frequency leading to measurable PR gain; reduced labour dependency and cleaning cost</t>
  </si>
  <si>
    <t>Large-scale 200 MW deployment with 272 robots; waterless automated cleaning at utility scale; significant PR improvement for Avaada</t>
  </si>
  <si>
    <t>Automatic, Semi-Automatic, Capex</t>
  </si>
  <si>
    <t>solar panel cleaning robot India</t>
  </si>
  <si>
    <t>waterless solar cleaning Madhya Pradesh, solar O&amp;M automation 200MW, Avaada solar cleaning case study</t>
  </si>
  <si>
    <t>All capacity and robot count data verified against internal deployment records. Environmental and outcome data based on standard Taypro benchmarks (140,000 L water saved per MW per year).</t>
  </si>
  <si>
    <t>Banda, Uttar Pradesh</t>
  </si>
  <si>
    <t>~9,800,000 litres/year water saved; improved cleaning frequency leading to measurable PR gain; reduced labour dependency and cleaning cost</t>
  </si>
  <si>
    <t>Mid-scale 70 MW deployment for Avaada; automation reducing operational costs; scalable fleet management via NECTYR</t>
  </si>
  <si>
    <t>waterless solar cleaning Uttar Pradesh, solar O&amp;M automation 70MW, Avaada solar cleaning case study</t>
  </si>
  <si>
    <t>Yadgir, Karnataka</t>
  </si>
  <si>
    <t>Mixed — dry season dust combined with occasional red-soil particulate; moderate-to-high soiling</t>
  </si>
  <si>
    <t>Moderate water availability constraints; dependence on local labour with high turnover and inconsistent quality</t>
  </si>
  <si>
    <t>~7,000,000 litres/year water saved; improved cleaning frequency leading to measurable PR gain; reduced labour dependency and cleaning cost</t>
  </si>
  <si>
    <t>Mid-scale 50 MW deployment for Avaada; automation reducing operational costs; scalable fleet management via NECTYR</t>
  </si>
  <si>
    <t>waterless solar cleaning Karnataka, solar O&amp;M automation 50MW, Avaada solar cleaning case study</t>
  </si>
  <si>
    <t>Soyegaon, Maharashtra</t>
  </si>
  <si>
    <t>Semi-arid; agricultural dust and bird droppings common; moderate soiling seasonally</t>
  </si>
  <si>
    <t>Manual cleaning was operationally burdensome; water scarcity and rising labour costs reduced cleaning frequency, impacting PR</t>
  </si>
  <si>
    <t>~14,000,000 litres/year water saved; improved cleaning frequency leading to measurable PR gain; reduced labour dependency and cleaning cost</t>
  </si>
  <si>
    <t>Mid-scale 100 MW deployment for Avaada; automation reducing operational costs; scalable fleet management via NECTYR</t>
  </si>
  <si>
    <t>waterless solar cleaning Maharashtra, solar O&amp;M automation 100MW, Avaada solar cleaning case study</t>
  </si>
  <si>
    <t>KMF, Karnataka</t>
  </si>
  <si>
    <t>GLYDE</t>
  </si>
  <si>
    <t>Automatic</t>
  </si>
  <si>
    <t>~10,500,000 litres/year water saved; improved cleaning frequency leading to measurable PR gain; reduced labour dependency and cleaning cost</t>
  </si>
  <si>
    <t>Mid-scale 75 MW deployment for Avaada; automation reducing operational costs; scalable fleet management via NECTYR</t>
  </si>
  <si>
    <t>Automatic, Capex</t>
  </si>
  <si>
    <t>waterless solar cleaning Karnataka, solar O&amp;M automation 75MW, Avaada solar cleaning case study</t>
  </si>
  <si>
    <t>Bachau DVC, Gujrat</t>
  </si>
  <si>
    <t>Not commissioned</t>
  </si>
  <si>
    <t>~42,000,000 litres/year water saved; improved cleaning frequency leading to measurable PR gain; reduced labour dependency and cleaning cost</t>
  </si>
  <si>
    <t>Large-scale 300 MW deployment with 172 robots; waterless automated cleaning at utility scale; significant PR improvement for Avaada</t>
  </si>
  <si>
    <t>waterless solar cleaning Gujrat, solar O&amp;M automation 300MW, Avaada solar cleaning case study</t>
  </si>
  <si>
    <t>Maya, Gujrat</t>
  </si>
  <si>
    <t>waterless solar cleaning Gujrat, solar O&amp;M automation 50MW, Avaada solar cleaning case study</t>
  </si>
  <si>
    <t>Seci Phase 1,Gujrat</t>
  </si>
  <si>
    <t>waterless solar cleaning Gujrat, solar O&amp;M automation 75MW, Avaada solar cleaning case study</t>
  </si>
  <si>
    <t>Seci Phase 2,Gujrat</t>
  </si>
  <si>
    <t>Manual or semi-manual cleaning was costly relative to plant size; inconsistent cleaning schedules caused measurable yield loss</t>
  </si>
  <si>
    <t>NYUMA</t>
  </si>
  <si>
    <t>Semi-automatic</t>
  </si>
  <si>
    <t>Manual cycle scheduling; periodic inspection reports; basic operational tracking</t>
  </si>
  <si>
    <t>Capex</t>
  </si>
  <si>
    <t>Tata</t>
  </si>
  <si>
    <t>Prayagraj, Uttar Pradesh</t>
  </si>
  <si>
    <t>High dust plains environment; crop residue and road dust; significant soiling during summer</t>
  </si>
  <si>
    <t>Mid-scale 50 MW deployment for Tata; automation reducing operational costs; scalable fleet management via NECTYR</t>
  </si>
  <si>
    <t>waterless solar cleaning Uttar Pradesh, solar O&amp;M automation 50MW, Tata solar cleaning case study</t>
  </si>
  <si>
    <t>Chhayan, rajasthan</t>
  </si>
  <si>
    <t>~21,000,000 litres/year water saved; improved cleaning frequency leading to measurable PR gain; reduced labour dependency and cleaning cost</t>
  </si>
  <si>
    <t>Mid-scale 150 MW deployment for Tata; automation reducing operational costs; scalable fleet management via NECTYR</t>
  </si>
  <si>
    <t>waterless solar cleaning rajasthan, solar O&amp;M automation 150MW, Tata solar cleaning case study</t>
  </si>
  <si>
    <t>First Energy Private Limited</t>
  </si>
  <si>
    <t>Rajkot, Gujrat</t>
  </si>
  <si>
    <t>~3,500,000 litres/year water saved; improved cleaning frequency leading to measurable PR gain; reduced labour dependency and cleaning cost</t>
  </si>
  <si>
    <t>Successful deployment for First Energy Private Limited demonstrating ROI at smaller scale; waterless cleaning and simplified O&amp;M</t>
  </si>
  <si>
    <t>waterless solar cleaning Gujrat, solar O&amp;M automation 25MW, First Energy Private Limited solar cleaning case study</t>
  </si>
  <si>
    <t>Amplus</t>
  </si>
  <si>
    <t xml:space="preserve"> Khanak</t>
  </si>
  <si>
    <t>Moderate dust environment; periodic soiling from local agricultural and road dust</t>
  </si>
  <si>
    <t>Mid-scale 50 MW deployment for Amplus; automation reducing operational costs; scalable fleet management via NECTYR</t>
  </si>
  <si>
    <t>Semi-Automatic, Capex</t>
  </si>
  <si>
    <t>waterless solar cleaning Khanak, solar O&amp;M automation 50MW, Amplus solar cleaning case study</t>
  </si>
  <si>
    <t xml:space="preserve"> Sonar Bangla</t>
  </si>
  <si>
    <t>~196,000 litres/year water saved; improved cleaning frequency leading to measurable PR gain; reduced labour dependency and cleaning cost</t>
  </si>
  <si>
    <t>Successful deployment for Amplus demonstrating ROI at smaller scale; waterless cleaning and simplified O&amp;M</t>
  </si>
  <si>
    <t>waterless solar cleaning Sonar Bangla, small scale solar cleaning robot, Amplus solar cleaning case study</t>
  </si>
  <si>
    <t xml:space="preserve"> Dakuni</t>
  </si>
  <si>
    <t>waterless solar cleaning Dakuni, small scale solar cleaning robot, Amplus solar cleaning case study</t>
  </si>
  <si>
    <t xml:space="preserve"> Muddapur</t>
  </si>
  <si>
    <t>~700,000 litres/year water saved; improved cleaning frequency leading to measurable PR gain; reduced labour dependency and cleaning cost</t>
  </si>
  <si>
    <t>waterless solar cleaning Muddapur, small scale solar cleaning robot, Amplus solar cleaning case study</t>
  </si>
  <si>
    <t xml:space="preserve"> Mangrol</t>
  </si>
  <si>
    <t>~168,000 litres/year water saved; improved cleaning frequency leading to measurable PR gain; reduced labour dependency and cleaning cost</t>
  </si>
  <si>
    <t>waterless solar cleaning Mangrol, small scale solar cleaning robot, Amplus solar cleaning case study</t>
  </si>
  <si>
    <t xml:space="preserve"> Nathdwara</t>
  </si>
  <si>
    <t>~1,036,000 litres/year water saved; improved cleaning frequency leading to measurable PR gain; reduced labour dependency and cleaning cost</t>
  </si>
  <si>
    <t>waterless solar cleaning Nathdwara, small scale solar cleaning robot, Amplus solar cleaning case study</t>
  </si>
  <si>
    <t xml:space="preserve"> Deoria</t>
  </si>
  <si>
    <t>~8,400,000 litres/year water saved; improved cleaning frequency leading to measurable PR gain; reduced labour dependency and cleaning cost</t>
  </si>
  <si>
    <t>Mid-scale 60 MW deployment for Amplus; automation reducing operational costs; scalable fleet management via NECTYR</t>
  </si>
  <si>
    <t>waterless solar cleaning Deoria, solar O&amp;M automation 60MW, Amplus solar cleaning case study</t>
  </si>
  <si>
    <t>Shaz Packaging</t>
  </si>
  <si>
    <t xml:space="preserve"> Hirasar</t>
  </si>
  <si>
    <t>Roof Top</t>
  </si>
  <si>
    <t>Manual cleaning on elevated rooftop panels was unsafe and labour-intensive; water usage and panel scratching were key concerns</t>
  </si>
  <si>
    <t>Limited water access on rooftop; no space for labour-intensive manual operations; safety constraints</t>
  </si>
  <si>
    <t>GLYDE-X</t>
  </si>
  <si>
    <t>Eliminated manual cleaning risk on rooftop; ~0 litres/year water saved; consistent PR improvement; reduced cleaning opex</t>
  </si>
  <si>
    <t>First robotic cleaning deployment for Shaz Packaging rooftop assets; safety and water savings at scale; repeatable model for industrial rooftop portfolios</t>
  </si>
  <si>
    <t>rooftop solar panel cleaning robot</t>
  </si>
  <si>
    <t>waterless solar cleaning Hirasar, small scale solar cleaning robot, Shaz Packaging solar cleaning case study</t>
  </si>
  <si>
    <t>MNM Solar</t>
  </si>
  <si>
    <t>Khopoli</t>
  </si>
  <si>
    <t>Eliminated manual cleaning risk on rooftop; ~350,000 litres/year water saved; consistent PR improvement; reduced cleaning opex</t>
  </si>
  <si>
    <t>First robotic cleaning deployment for MNM Solar rooftop assets; safety and water savings at scale; repeatable model for industrial rooftop portfolios</t>
  </si>
  <si>
    <t>waterless solar cleaning Khopoli, small scale solar cleaning robot, MNM Solar solar cleaning case study</t>
  </si>
  <si>
    <t>Suntria Nagpur</t>
  </si>
  <si>
    <t>APEX- Nagpur</t>
  </si>
  <si>
    <t>Eliminated manual cleaning risk on rooftop; ~182,000 litres/year water saved; consistent PR improvement; reduced cleaning opex</t>
  </si>
  <si>
    <t>First robotic cleaning deployment for Suntria Nagpur rooftop assets; safety and water savings at scale; repeatable model for industrial rooftop portfolios</t>
  </si>
  <si>
    <t>waterless solar cleaning APEX- Nagpur, small scale solar cleaning robot, Suntria Nagpur solar cleaning case study</t>
  </si>
  <si>
    <t>Hariwansh - Nagpur</t>
  </si>
  <si>
    <t>Eliminated manual cleaning risk on rooftop; ~98,000 litres/year water saved; consistent PR improvement; reduced cleaning opex</t>
  </si>
  <si>
    <t>waterless solar cleaning Hariwansh - Nagpur, small scale solar cleaning robot, Suntria Nagpur solar cleaning case study</t>
  </si>
  <si>
    <t>Butiburi</t>
  </si>
  <si>
    <t> </t>
  </si>
  <si>
    <t>Eliminated manual cleaning risk on rooftop; ~42,000 litres/year water saved; consistent PR improvement; reduced cleaning opex</t>
  </si>
  <si>
    <t>waterless solar cleaning Butiburi, small scale solar cleaning robot, Suntria Nagpur solar cleaning case study</t>
  </si>
  <si>
    <t xml:space="preserve"> Wardhamana</t>
  </si>
  <si>
    <t>Eliminated manual cleaning risk on rooftop; ~28,000 litres/year water saved; consistent PR improvement; reduced cleaning opex</t>
  </si>
  <si>
    <t>waterless solar cleaning Wardhamana, small scale solar cleaning robot, Suntria Nagpur solar cleaning case study</t>
  </si>
  <si>
    <t>Vimal Solar</t>
  </si>
  <si>
    <t>Bhusawal</t>
  </si>
  <si>
    <t>Eliminated manual cleaning risk on rooftop; ~84,000 litres/year water saved; consistent PR improvement; reduced cleaning opex</t>
  </si>
  <si>
    <t>First robotic cleaning deployment for Vimal Solar rooftop assets; safety and water savings at scale; repeatable model for industrial rooftop portfolios</t>
  </si>
  <si>
    <t>waterless solar cleaning Bhusawal, small scale solar cleaning robot, Vimal Solar solar cleaning case study</t>
  </si>
  <si>
    <t>Bhuldhana</t>
  </si>
  <si>
    <t>~140,000 litres/year water saved; improved cleaning frequency leading to measurable PR gain; reduced labour dependency and cleaning cost</t>
  </si>
  <si>
    <t>Successful deployment for Vimal Solar demonstrating ROI at smaller scale; waterless cleaning and simplified O&amp;M</t>
  </si>
  <si>
    <t>waterless solar cleaning Bhuldhana, small scale solar cleaning robot, Vimal Solar solar cleaning case study</t>
  </si>
  <si>
    <t>Mahindra Construction</t>
  </si>
  <si>
    <t>Satara</t>
  </si>
  <si>
    <t>~0 litres/year water saved; improved cleaning frequency leading to measurable PR gain; reduced labour dependency and cleaning cost</t>
  </si>
  <si>
    <t>Successful deployment for Mahindra Construction demonstrating ROI at smaller scale; waterless cleaning and simplified O&amp;M</t>
  </si>
  <si>
    <t>waterless solar cleaning Satara, small scale solar cleaning robot, Mahindra Construction solar cleaning case study</t>
  </si>
  <si>
    <t>Gurudev Siddha Pitha</t>
  </si>
  <si>
    <t xml:space="preserve"> Vasai</t>
  </si>
  <si>
    <t>Successful deployment for Gurudev Siddha Pitha demonstrating ROI at smaller scale; waterless cleaning and simplified O&amp;M</t>
  </si>
  <si>
    <t>waterless solar cleaning Vasai, small scale solar cleaning robot, Gurudev Siddha Pitha solar cleaning case study</t>
  </si>
  <si>
    <t>Cleantech</t>
  </si>
  <si>
    <t xml:space="preserve"> Haryana</t>
  </si>
  <si>
    <t>High pollution + dust; urban particulate load; frequent cleaning essential</t>
  </si>
  <si>
    <t>~2,086,000 litres/year water saved; improved cleaning frequency leading to measurable PR gain; reduced labour dependency and cleaning cost</t>
  </si>
  <si>
    <t>Successful deployment for Cleantech demonstrating ROI at smaller scale; waterless cleaning and simplified O&amp;M</t>
  </si>
  <si>
    <t>waterless solar cleaning Haryana, solar O&amp;M automation 15MW, Cleantech solar cleaning case study</t>
  </si>
  <si>
    <t>Indian Oil Petronnas</t>
  </si>
  <si>
    <t>Chennai</t>
  </si>
  <si>
    <t>Coastal humidity + dust; saline particulate near coast; moderate soiling</t>
  </si>
  <si>
    <t>~1,400,000 litres/year water saved; improved cleaning frequency leading to measurable PR gain; reduced labour dependency and cleaning cost</t>
  </si>
  <si>
    <t>Successful deployment for Indian Oil Petronnas demonstrating ROI at smaller scale; waterless cleaning and simplified O&amp;M</t>
  </si>
  <si>
    <t>waterless solar cleaning Chennai, solar O&amp;M automation 10MW, Indian Oil Petronnas solar cleaning case study</t>
  </si>
  <si>
    <t xml:space="preserve">NLC Teras </t>
  </si>
  <si>
    <t xml:space="preserve"> Nayveli</t>
  </si>
  <si>
    <t>Successful deployment for NLC Teras  demonstrating ROI at smaller scale; waterless cleaning and simplified O&amp;M</t>
  </si>
  <si>
    <t>waterless solar cleaning Nayveli, solar O&amp;M automation 10MW, NLC Teras  solar cleaning case study</t>
  </si>
  <si>
    <t xml:space="preserve">Vishal Warehouse </t>
  </si>
  <si>
    <t xml:space="preserve"> Bheewandi</t>
  </si>
  <si>
    <t>First robotic cleaning deployment for Vishal Warehouse  rooftop assets; safety and water savings at scale; repeatable model for industrial rooftop portfolios</t>
  </si>
  <si>
    <t>waterless solar cleaning Bheewandi, small scale solar cleaning robot, Vishal Warehouse  solar cleaning case study</t>
  </si>
  <si>
    <t>Suntric</t>
  </si>
  <si>
    <t>Thakkar Chemical</t>
  </si>
  <si>
    <t>Eliminated manual cleaning risk on rooftop; ~140,000 litres/year water saved; consistent PR improvement; reduced cleaning opex</t>
  </si>
  <si>
    <t>First robotic cleaning deployment for Suntric rooftop assets; safety and water savings at scale; repeatable model for industrial rooftop portfolios</t>
  </si>
  <si>
    <t>waterless solar cleaning Thakkar Chemical, small scale solar cleaning robot, Suntric solar cleaning case study</t>
  </si>
  <si>
    <t>Thakkar Cotton</t>
  </si>
  <si>
    <t>waterless solar cleaning Thakkar Cotton, small scale solar cleaning robot, Suntric solar cleaning case study</t>
  </si>
  <si>
    <t>Suresh  Cotton</t>
  </si>
  <si>
    <t>waterless solar cleaning Suresh  Cotton, small scale solar cleaning robot, Suntric solar cleaning case study</t>
  </si>
  <si>
    <t>Kuber Agro</t>
  </si>
  <si>
    <t>Successful deployment for Kuber Agro demonstrating ROI at smaller scale; waterless cleaning and simplified O&amp;M</t>
  </si>
  <si>
    <t>waterless solar cleaning Kuber Agro, small scale solar cleaning robot, Kuber Agro solar cleaning case study</t>
  </si>
  <si>
    <t>Shri Ganesh Industries</t>
  </si>
  <si>
    <t>~42,000 litres/year water saved; improved cleaning frequency leading to measurable PR gain; reduced labour dependency and cleaning cost</t>
  </si>
  <si>
    <t>Successful deployment for Shri Ganesh Industries demonstrating ROI at smaller scale; waterless cleaning and simplified O&amp;M</t>
  </si>
  <si>
    <t>waterless solar cleaning Shri Ganesh Industries, small scale solar cleaning robot, Shri Ganesh Industries solar cleaning case study</t>
  </si>
  <si>
    <t>BluPine</t>
  </si>
  <si>
    <t>BluPine Panshina Gujrat</t>
  </si>
  <si>
    <t>Mid-scale 75 MW deployment for BluPine; automation reducing operational costs; scalable fleet management via NECTYR</t>
  </si>
  <si>
    <t>waterless solar cleaning BluPine Panshina Gujrat, solar O&amp;M automation 75MW, BluPine solar cleaning case study</t>
  </si>
  <si>
    <t>BluPine Neneva Gujrat</t>
  </si>
  <si>
    <t>Goining on</t>
  </si>
  <si>
    <t>~35,000,000 litres/year water saved; improved cleaning frequency leading to measurable PR gain; reduced labour dependency and cleaning cost</t>
  </si>
  <si>
    <t>Large-scale 250 MW deployment with 10 robots; waterless automated cleaning at utility scale; significant PR improvement for BluPine</t>
  </si>
  <si>
    <t>waterless solar cleaning BluPine Neneva Gujrat, solar O&amp;M automation 250MW, BluPine solar cleaning case study</t>
  </si>
  <si>
    <t>Manasvi Enterprises</t>
  </si>
  <si>
    <t xml:space="preserve"> Maharashtra</t>
  </si>
  <si>
    <t>Successful deployment for Manasvi Enterprises demonstrating ROI at smaller scale; waterless cleaning and simplified O&amp;M</t>
  </si>
  <si>
    <t>waterless solar cleaning Maharashtra, small scale solar cleaning robot, Manasvi Enterprises solar cleaning case study</t>
  </si>
  <si>
    <t>MSEDCL</t>
  </si>
  <si>
    <t xml:space="preserve"> Akhadana, Rajasthan</t>
  </si>
  <si>
    <t>~50,400,000 litres/year water saved; improved cleaning frequency leading to measurable PR gain; reduced labour dependency and cleaning cost</t>
  </si>
  <si>
    <t>Large-scale 360 MW deployment with 80 robots; waterless automated cleaning at utility scale; significant PR improvement for MSEDCL</t>
  </si>
  <si>
    <t>waterless solar cleaning Rajasthan, solar O&amp;M automation 360MW, MSEDCL solar cleaning case study</t>
  </si>
  <si>
    <t xml:space="preserve"> ACME</t>
  </si>
  <si>
    <t>Bhadla,Rajasthan</t>
  </si>
  <si>
    <t>Large-scale 300 MW deployment with 40 robots; waterless automated cleaning at utility scale; significant PR improvement for  ACME</t>
  </si>
  <si>
    <t>waterless solar cleaning Rajasthan, solar O&amp;M automation 300MW,  ACME solar cleaning case study</t>
  </si>
  <si>
    <t>Parabot Hospitality</t>
  </si>
  <si>
    <t xml:space="preserve"> Parliament Delhi</t>
  </si>
  <si>
    <t>First robotic cleaning deployment for Parabot Hospitality rooftop assets; safety and water savings at scale; repeatable model for industrial rooftop portfolios</t>
  </si>
  <si>
    <t>waterless solar cleaning Parliament Delhi, small scale solar cleaning robot, Parabot Hospitality solar cleaning case study</t>
  </si>
  <si>
    <t>Bhandup MH</t>
  </si>
  <si>
    <t xml:space="preserve">Sungazing </t>
  </si>
  <si>
    <t>~350,000 litres/year water saved; improved cleaning frequency leading to measurable PR gain; reduced labour dependency and cleaning cost</t>
  </si>
  <si>
    <t>Successful deployment for Bhandup MH demonstrating ROI at smaller scale; waterless cleaning and simplified O&amp;M</t>
  </si>
  <si>
    <t>waterless solar cleaning Sungazing, small scale solar cleaning robot, Bhandup MH solar cleaning case study</t>
  </si>
  <si>
    <t>Nashik, Satana</t>
  </si>
  <si>
    <t>BU Bhandari  Satana Nashik</t>
  </si>
  <si>
    <t>Seasonal water stress; labour availability limited in rural Maharashtra; high manual cleaning cost</t>
  </si>
  <si>
    <t>~420,000 litres/year water saved; improved cleaning frequency leading to measurable PR gain; reduced labour dependency and cleaning cost</t>
  </si>
  <si>
    <t>Successful deployment for Nashik, Satana demonstrating ROI at smaller scale; waterless cleaning and simplified O&amp;M</t>
  </si>
  <si>
    <t>waterless solar cleaning BU Bhandari  Satana Nashik, small scale solar cleaning robot, Nashik, Satana solar cleaning case study</t>
  </si>
  <si>
    <t>HPCL</t>
  </si>
  <si>
    <t xml:space="preserve"> Chandrapur MH</t>
  </si>
  <si>
    <t>Successful deployment for HPCL demonstrating ROI at smaller scale; waterless cleaning and simplified O&amp;M</t>
  </si>
  <si>
    <t>waterless solar cleaning Chandrapur MH, small scale solar cleaning robot, HPCL solar cleaning case study</t>
  </si>
  <si>
    <t>AVPS Solar</t>
  </si>
  <si>
    <t>Chakan-VI</t>
  </si>
  <si>
    <t>First robotic cleaning deployment for AVPS Solar rooftop assets; safety and water savings at scale; repeatable model for industrial rooftop portfolios</t>
  </si>
  <si>
    <t>waterless solar cleaning Chakan-VI, small scale solar cleaning robot, AVPS Solar solar cleaning case study</t>
  </si>
  <si>
    <t>Chakan-VII</t>
  </si>
  <si>
    <t>Eliminated manual cleaning risk on rooftop; ~280,000 litres/year water saved; consistent PR improvement; reduced cleaning opex</t>
  </si>
  <si>
    <t>waterless solar cleaning Chakan-VII, small scale solar cleaning robot, AVPS Solar solar cleaning case study</t>
  </si>
  <si>
    <t>Lakshim Lada, Kolhapur</t>
  </si>
  <si>
    <t>waterless solar cleaning Kolhapur, small scale solar cleaning robot, AVPS Solar solar cleaning case study</t>
  </si>
  <si>
    <t>Yavatmal, Kupti</t>
  </si>
  <si>
    <t>Semi-arid; cotton belt dust and agricultural residue; moderate-to-high soiling</t>
  </si>
  <si>
    <t>~1,960,000 litres/year water saved; improved cleaning frequency leading to measurable PR gain; reduced labour dependency and cleaning cost</t>
  </si>
  <si>
    <t>Successful deployment for Avaada demonstrating ROI at smaller scale; waterless cleaning and simplified O&amp;M</t>
  </si>
  <si>
    <t>waterless solar cleaning Kupti, solar O&amp;M automation 14MW, Avaada solar cleaning case study</t>
  </si>
  <si>
    <t>Yavatmal, Sangalwadi</t>
  </si>
  <si>
    <t>~560,000 litres/year water saved; improved cleaning frequency leading to measurable PR gain; reduced labour dependency and cleaning cost</t>
  </si>
  <si>
    <t>waterless solar cleaning Sangalwadi, small scale solar cleaning robot, Avaada solar cleaning case study</t>
  </si>
  <si>
    <t>Yavatmal, Bansi</t>
  </si>
  <si>
    <t>~280,000 litres/year water saved; improved cleaning frequency leading to measurable PR gain; reduced labour dependency and cleaning cost</t>
  </si>
  <si>
    <t>waterless solar cleaning Bansi, small scale solar cleaning robot, Avaada solar cleaning case study</t>
  </si>
  <si>
    <t>Yavatmal, Dhanorakh</t>
  </si>
  <si>
    <t>~840,000 litres/year water saved; improved cleaning frequency leading to measurable PR gain; reduced labour dependency and cleaning cost</t>
  </si>
  <si>
    <t>waterless solar cleaning Dhanorakh, small scale solar cleaning robot, Avaada solar cleaning case study</t>
  </si>
  <si>
    <t>Yavatmal, Galwha</t>
  </si>
  <si>
    <t>waterless solar cleaning Galwha, small scale solar cleaning robot, Avaada solar cleaning case study</t>
  </si>
  <si>
    <t>Yavatmal,Dongarkharda</t>
  </si>
  <si>
    <t>waterless solar cleaning Dongarkharda, small scale solar cleaning robot, Avaada solar cleaning case study</t>
  </si>
  <si>
    <t>Yavatmal, Rampur</t>
  </si>
  <si>
    <t>waterless solar cleaning Rampur, small scale solar cleaning robot, Avaada solar cleaning case study</t>
  </si>
  <si>
    <t>Yavatmal, Ghonsi</t>
  </si>
  <si>
    <t>~980,000 litres/year water saved; improved cleaning frequency leading to measurable PR gain; reduced labour dependency and cleaning cost</t>
  </si>
  <si>
    <t>waterless solar cleaning Ghonsi, small scale solar cleaning robot, Avaada solar cleaning case study</t>
  </si>
  <si>
    <t>Yavatmal, Kinhi</t>
  </si>
  <si>
    <t>waterless solar cleaning Kinhi, small scale solar cleaning robot, Avaada solar cleaning case study</t>
  </si>
  <si>
    <t>Yavatmal, Undarni</t>
  </si>
  <si>
    <t>waterless solar cleaning Undarni, small scale solar cleaning robot, Avaada solar cleaning case study</t>
  </si>
  <si>
    <t>Yavatmal, Akpuri</t>
  </si>
  <si>
    <t>waterless solar cleaning Akpuri, small scale solar cleaning robot, Avaada solar cleaning case study</t>
  </si>
  <si>
    <t>Yavatmal, Punvat</t>
  </si>
  <si>
    <t>waterless solar cleaning Punvat, small scale solar cleaning robot, Avaada solar cleaning case study</t>
  </si>
  <si>
    <t>Yavatmal, Sawana</t>
  </si>
  <si>
    <t>waterless solar cleaning Sawana, small scale solar cleaning robot, Avaada solar cleaning case study</t>
  </si>
  <si>
    <t>Yavatmal, Adegaon</t>
  </si>
  <si>
    <t>waterless solar cleaning Adegaon, small scale solar cleaning robot, Avaada solar cleaning case study</t>
  </si>
  <si>
    <t>Yavatmal, Dahegaon</t>
  </si>
  <si>
    <t>waterless solar cleaning Dahegaon, small scale solar cleaning robot, Avaada solar cleaning case study</t>
  </si>
  <si>
    <t>Yavatmal, Mhasola</t>
  </si>
  <si>
    <t>waterless solar cleaning Mhasola, small scale solar cleaning robot, Avaada solar cleaning case study</t>
  </si>
  <si>
    <t>Yavatmal, Mahadapur</t>
  </si>
  <si>
    <t>waterless solar cleaning Mahadapur, small scale solar cleaning robot, Avaada solar cleaning case study</t>
  </si>
  <si>
    <t>Yavatmal, Sarfali</t>
  </si>
  <si>
    <t>waterless solar cleaning Sarfali, small scale solar cleaning robot, Avaada solar cleaning case study</t>
  </si>
  <si>
    <t>Yavatmal, Baldi</t>
  </si>
  <si>
    <t>waterless solar cleaning Baldi, small scale solar cleaning robot, Avaada solar cleaning case study</t>
  </si>
  <si>
    <t>Akhadana</t>
  </si>
  <si>
    <t>waterless solar cleaning Akhadana, small scale solar cleaning robot, Avaada solar cleaning case study</t>
  </si>
  <si>
    <t>Bhadla</t>
  </si>
  <si>
    <t>waterless solar cleaning Bhadla, small scale solar cleaning robot, Avaada solar cleaning case study</t>
  </si>
  <si>
    <t>Seci-1</t>
  </si>
  <si>
    <t>waterless solar cleaning Seci-1, solar O&amp;M automation 50MW, Avaada solar cleaning case study</t>
  </si>
  <si>
    <t>Seci-2</t>
  </si>
  <si>
    <t>Large-scale 200 MW deployment with 179 robots; waterless automated cleaning at utility scale; significant PR improvement for Avaada</t>
  </si>
  <si>
    <t>waterless solar cleaning Seci-2, solar O&amp;M automation 200MW, Avaada solar cleaning case study</t>
  </si>
  <si>
    <t>Sangli-Madgyal</t>
  </si>
  <si>
    <t>waterless solar cleaning Sangli-Madgyal, small scale solar cleaning robot, Avaada solar cleaning case study</t>
  </si>
  <si>
    <t>Sangali-Kontya Boblad/Tikondi</t>
  </si>
  <si>
    <t>waterless solar cleaning Sangali-Kontya Boblad/Tikondi, solar O&amp;M automation 10MW, Avaada solar cleaning case study</t>
  </si>
  <si>
    <t>Sangali-Bhagyanagar(Bhakuchwadi)</t>
  </si>
  <si>
    <t>waterless solar cleaning Sangali-Bhagyanagar(Bhakuchwadi), small scale solar cleaning robot, Avaada solar cleaning case study</t>
  </si>
  <si>
    <t>Sangali-Morale Ped</t>
  </si>
  <si>
    <t>waterless solar cleaning Sangali-Morale Ped, small scale solar cleaning robot, Avaada solar cleaning case study</t>
  </si>
  <si>
    <t>Sangali-Palaskhel</t>
  </si>
  <si>
    <t>~1,260,000 litres/year water saved; improved cleaning frequency leading to measurable PR gain; reduced labour dependency and cleaning cost</t>
  </si>
  <si>
    <t>waterless solar cleaning Sangali-Palaskhel, small scale solar cleaning robot, Avaada solar cleaning case study</t>
  </si>
  <si>
    <t>Sangali-Jirgyal</t>
  </si>
  <si>
    <t>waterless solar cleaning Sangali-Jirgyal, small scale solar cleaning robot, Avaada solar cleaning case study</t>
  </si>
  <si>
    <t>Snagali-Belondgi (Bellundagi)</t>
  </si>
  <si>
    <t>waterless solar cleaning Snagali-Belondgi (Bellundagi), small scale solar cleaning robot, Avaada solar cleaning case study</t>
  </si>
  <si>
    <t>Sangali-Benapura/Renavi</t>
  </si>
  <si>
    <t>waterless solar cleaning Sangali-Benapura/Renavi, small scale solar cleaning robot, Avaada solar cleaning case study</t>
  </si>
  <si>
    <t>Sangali-Kognoli</t>
  </si>
  <si>
    <t>waterless solar cleaning Sangali-Kognoli, small scale solar cleaning robot, Avaada solar cleaning case study</t>
  </si>
  <si>
    <t>Sangali-Karewadi</t>
  </si>
  <si>
    <t>waterless solar cleaning Sangali-Karewadi, small scale solar cleaning robot, Avaada solar cleaning case study</t>
  </si>
  <si>
    <t>Sangali- Asangi Jat</t>
  </si>
  <si>
    <t>waterless solar cleaning Sangali- Asangi Jat, small scale solar cleaning robot, Avaada solar cleaning case study</t>
  </si>
  <si>
    <t>Sangali-Shirasgaon</t>
  </si>
  <si>
    <t>waterless solar cleaning Sangali-Shirasgaon, small scale solar cleaning robot, Avaada solar cleaning case study</t>
  </si>
  <si>
    <t>Sangali-Madgule</t>
  </si>
  <si>
    <t>waterless solar cleaning Sangali-Madgule, small scale solar cleaning robot, Avaada solar cleaning case study</t>
  </si>
  <si>
    <t>Sangali-Lingivare</t>
  </si>
  <si>
    <t>waterless solar cleaning Sangali-Lingivare, small scale solar cleaning robot, Avaada solar cleaning case study</t>
  </si>
  <si>
    <t>Nashik-Shinde</t>
  </si>
  <si>
    <t>waterless solar cleaning Nashik-Shinde, solar O&amp;M automation 10MW, Avaada solar cleaning case study</t>
  </si>
  <si>
    <t>Nashik-Hiswal BK</t>
  </si>
  <si>
    <t>waterless solar cleaning Nashik-Hiswal BK, small scale solar cleaning robot, Avaada solar cleaning case study</t>
  </si>
  <si>
    <t>Nashik-Boygaon</t>
  </si>
  <si>
    <t>waterless solar cleaning Nashik-Boygaon, small scale solar cleaning robot, Avaada solar cleaning case study</t>
  </si>
  <si>
    <t>Nashik-Dongagaon</t>
  </si>
  <si>
    <t>~1,120,000 litres/year water saved; improved cleaning frequency leading to measurable PR gain; reduced labour dependency and cleaning cost</t>
  </si>
  <si>
    <t>waterless solar cleaning Nashik-Dongagaon, small scale solar cleaning robot, Avaada solar cleaning case study</t>
  </si>
  <si>
    <t>Nashik- Satyagaon</t>
  </si>
  <si>
    <t>waterless solar cleaning Nashik- Satyagaon, small scale solar cleaning robot, Avaada solar cleaning case study</t>
  </si>
  <si>
    <t>Beed-Babhal Gaon</t>
  </si>
  <si>
    <t>waterless solar cleaning Beed-Babhal Gaon, small scale solar cleaning robot, Avaada solar cleaning case study</t>
  </si>
  <si>
    <t>Dharashiv- Naldurg</t>
  </si>
  <si>
    <t>waterless solar cleaning Dharashiv- Naldurg, small scale solar cleaning robot, Avaada solar cleaning case study</t>
  </si>
  <si>
    <t>Hingoli- Shiwani BK</t>
  </si>
  <si>
    <t>waterless solar cleaning Hingoli- Shiwani BK, small scale solar cleaning robot, Avaada solar cleaning case study</t>
  </si>
  <si>
    <t>Solapur-Gulwanchi</t>
  </si>
  <si>
    <t>waterless solar cleaning Solapur-Gulwanchi, small scale solar cleaning robot, Avaada solar cleaning case study</t>
  </si>
  <si>
    <t>Nashik-Kolam BK</t>
  </si>
  <si>
    <t>waterless solar cleaning Nashik-Kolam BK, small scale solar cleaning robot, Avaada solar cleaning case study</t>
  </si>
  <si>
    <t>Ahmadnagar- Velapur</t>
  </si>
  <si>
    <t>waterless solar cleaning Ahmadnagar- Velapur, small scale solar cleaning robot, Avaada solar cleaning case study</t>
  </si>
  <si>
    <t>Ahmadnagar- Nanduri Dumala</t>
  </si>
  <si>
    <t>waterless solar cleaning Ahmadnagar- Nanduri Dumala, solar O&amp;M automation 10MW, Avaada solar cleaning case study</t>
  </si>
  <si>
    <t>Ahmadnagar- Sasewadi</t>
  </si>
  <si>
    <t>waterless solar cleaning Ahmadnagar- Sasewadi, small scale solar cleaning robot, Avaada solar cleaning case study</t>
  </si>
  <si>
    <t>Ahmadnagar- Jamb</t>
  </si>
  <si>
    <t>waterless solar cleaning Ahmadnagar- Jamb, small scale solar cleaning robot, Avaada solar cleaning case study</t>
  </si>
  <si>
    <t>Ahmadnagar- Wadner Bk</t>
  </si>
  <si>
    <t>waterless solar cleaning Ahmadnagar- Wadner Bk, small scale solar cleaning robot, Avaada solar cleaning case study</t>
  </si>
  <si>
    <t>Ahmadnagar- Takali Dhokeshwar</t>
  </si>
  <si>
    <t>waterless solar cleaning Ahmadnagar- Takali Dhokeshwar, small scale solar cleaning robot, Avaada solar cleaning case study</t>
  </si>
  <si>
    <t>Ahmadnagar- Supa</t>
  </si>
  <si>
    <t>waterless solar cleaning Ahmadnagar- Supa, small scale solar cleaning robot, Avaada solar cleaning case study</t>
  </si>
  <si>
    <t>Ahmadnagar- Ratnapur</t>
  </si>
  <si>
    <t>waterless solar cleaning Ahmadnagar- Ratnapur, small scale solar cleaning robot, Avaada solar cleaning case study</t>
  </si>
  <si>
    <t>Ahmadnagar- Nagalwadi</t>
  </si>
  <si>
    <t>waterless solar cleaning Ahmadnagar- Nagalwadi, small scale solar cleaning robot, Avaada solar cleaning case study</t>
  </si>
  <si>
    <t>Ahmadnagar- Ranjanwadi</t>
  </si>
  <si>
    <t>waterless solar cleaning Ahmadnagar- Ranjanwadi, small scale solar cleaning robot, Avaada solar cleaning case study</t>
  </si>
  <si>
    <t>Ahmadnagar- Masale</t>
  </si>
  <si>
    <t>waterless solar cleaning Ahmadnagar- Masale, solar O&amp;M automation 10MW, Avaada solar cleaning case study</t>
  </si>
  <si>
    <t>Ahmadnagar-Najik Chincholi</t>
  </si>
  <si>
    <t>waterless solar cleaning Ahmadnagar-Najik Chincholi, small scale solar cleaning robot, Avaada solar cleaning case study</t>
  </si>
  <si>
    <t>Ahmadnagar- Balwandi</t>
  </si>
  <si>
    <t>waterless solar cleaning Ahmadnagar- Balwandi, solar O&amp;M automation 10MW, Avaada solar cleaning case study</t>
  </si>
  <si>
    <t>Ahmadnagar- Jalalpur</t>
  </si>
  <si>
    <t>waterless solar cleaning Ahmadnagar- Jalalpur, solar O&amp;M automation 10MW, Avaada solar cleaning case study</t>
  </si>
  <si>
    <t>Ahmadnagar- Deulwadi</t>
  </si>
  <si>
    <t>waterless solar cleaning Ahmadnagar- Deulwadi, small scale solar cleaning robot, Avaada solar cleaning case study</t>
  </si>
  <si>
    <t>Ahmadnagar- Kharda</t>
  </si>
  <si>
    <t>waterless solar cleaning Ahmadnagar- Kharda, solar O&amp;M automation 10MW, Avaada solar cleaning case study</t>
  </si>
  <si>
    <t>Ahmadnagar- Mungashi</t>
  </si>
  <si>
    <t>waterless solar cleaning Ahmadnagar- Mungashi, small scale solar cleaning robot, Avaada solar cleaning case study</t>
  </si>
  <si>
    <t>Ahmadnagar- Karhe</t>
  </si>
  <si>
    <t>waterless solar cleaning Ahmadnagar- Karhe, small scale solar cleaning robot, Avaada solar cleaning case study</t>
  </si>
  <si>
    <t>Ahmadnagar- Majampur</t>
  </si>
  <si>
    <t>waterless solar cleaning Ahmadnagar- Majampur, small scale solar cleaning robot, Avaada solar cleaning case study</t>
  </si>
  <si>
    <t>Ahmadnagar- Mandavgan</t>
  </si>
  <si>
    <t>waterless solar cleaning Ahmadnagar- Mandavgan, small scale solar cleaning robot, Avaada solar cleaning case study</t>
  </si>
  <si>
    <t>Ahmadnagar- Sakegaon</t>
  </si>
  <si>
    <t>waterless solar cleaning Ahmadnagar- Sakegaon, small scale solar cleaning robot, Avaada solar cleaning case study</t>
  </si>
  <si>
    <t>Ahmadnagar- Nimgaon</t>
  </si>
  <si>
    <t>waterless solar cleaning Ahmadnagar- Nimgaon, small scale solar cleaning robot, Avaada solar cleaning case study</t>
  </si>
  <si>
    <t>Ahmadnagar- Wanjoli</t>
  </si>
  <si>
    <t>waterless solar cleaning Ahmadnagar- Wanjoli, small scale solar cleaning robot, Avaada solar cleaning case study</t>
  </si>
  <si>
    <t>Ahmadnagar- Shirapur</t>
  </si>
  <si>
    <t>waterless solar cleaning Ahmadnagar- Shirapur, small scale solar cleaning robot, Avaada solar cleaning case study</t>
  </si>
  <si>
    <t>Ahmadnagar- Gunore</t>
  </si>
  <si>
    <t>waterless solar cleaning Ahmadnagar- Gunore, small scale solar cleaning robot, Avaada solar cleaning case study</t>
  </si>
  <si>
    <t>Ahmadnagar- Gundegaon</t>
  </si>
  <si>
    <t>waterless solar cleaning Ahmadnagar- Gundegaon, small scale solar cleaning robot, Avaada solar cleaning case study</t>
  </si>
  <si>
    <t>Ahmadnagar- Kharatwadi</t>
  </si>
  <si>
    <t>waterless solar cleaning Ahmadnagar- Kharatwadi, small scale solar cleaning robot, Avaada solar cleaning case study</t>
  </si>
  <si>
    <t>Ahmadnagar- Manik Daundi</t>
  </si>
  <si>
    <t>waterless solar cleaning Ahmadnagar- Manik Daundi, small scale solar cleaning robot, Avaada solar cleaning case study</t>
  </si>
  <si>
    <t>Ahmadnagar- Durgaon</t>
  </si>
  <si>
    <t>waterless solar cleaning Ahmadnagar- Durgaon, small scale solar cleaning robot, Avaada solar cleaning case study</t>
  </si>
  <si>
    <t>Ahmadnagar- Kelwad BK</t>
  </si>
  <si>
    <t>waterless solar cleaning Ahmadnagar- Kelwad BK, small scale solar cleaning robot, Avaada solar cleaning case study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</si>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</sst>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-mmm\-yy"/>
    <numFmt numFmtId="165" formatCode="d\-mmm"/>
  </numFmts>
  <fonts count="7" x14ac:knownFonts="1">
    <font>
      <sz val="12"/>
      <color theme="1"/>
      <name val="Aptos Narrow"/>
      <family val="2"/>
      <charset val="1"/>
    </font>
    <font>
      <b/>
      <sz val="12"/>
      <color rgb="FFFFFFFF"/>
      <name val="Aptos Narrow"/>
    </font>
    <font>
      <sz val="11"/>
      <color rgb="FF000000"/>
      <name val="Calibri"/>
      <family val="2"/>
    </font>
    <font>
      <sz val="11"/>
      <color rgb="FF000000"/>
      <name val="Calibri"/>
      <family val="2"/>
      <charset val="1"/>
    </font>
    <font>
      <sz val="11"/>
      <color rgb="FFFF0000"/>
      <name val="Calibri"/>
      <family val="2"/>
    </font>
    <font>
      <sz val="12"/>
      <color rgb="FF0D0D0D"/>
      <name val="Calibri"/>
      <family val="2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00B050"/>
        <bgColor rgb="FF008080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0" fontId="1" fillId="0" borderId="0" xfId="0" applyFont="1"/>
    <xf numFmtId="0" fontId="2" fillId="0" borderId="1" xfId="0" applyFont="1" applyBorder="1" applyAlignment="1">
      <alignment horizontal="center"/>
    </xf>
    <xf numFmtId="164" fontId="0" fillId="0" borderId="0" xfId="0" applyNumberFormat="1" applyAlignment="1">
      <alignment horizontal="center"/>
    </xf>
    <xf numFmtId="17" fontId="0" fillId="0" borderId="0" xfId="0" applyNumberFormat="1" applyAlignment="1">
      <alignment horizontal="center"/>
    </xf>
    <xf numFmtId="17" fontId="2" fillId="0" borderId="2" xfId="0" applyNumberFormat="1" applyFont="1" applyBorder="1" applyAlignment="1">
      <alignment horizontal="center"/>
    </xf>
    <xf numFmtId="165" fontId="0" fillId="0" borderId="0" xfId="0" applyNumberFormat="1" applyAlignment="1">
      <alignment horizontal="center"/>
    </xf>
    <xf numFmtId="0" fontId="3" fillId="0" borderId="3" xfId="0" applyFont="1" applyBorder="1" applyAlignment="1">
      <alignment horizontal="center"/>
    </xf>
    <xf numFmtId="17" fontId="2" fillId="0" borderId="1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165" fontId="2" fillId="0" borderId="2" xfId="0" applyNumberFormat="1" applyFont="1" applyBorder="1" applyAlignment="1">
      <alignment horizontal="center"/>
    </xf>
    <xf numFmtId="2" fontId="2" fillId="0" borderId="2" xfId="0" applyNumberFormat="1" applyFon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6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D0D0D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Y130" totalsRowShown="0">
  <autoFilter ref="A1:Y130" xr:uid="{00000000-0009-0000-0100-000001000000}"/>
  <tableColumns count="25">
    <tableColumn id="1" xr3:uid="{00000000-0010-0000-0000-000001000000}" name="Client Name"/>
    <tableColumn id="2" xr3:uid="{00000000-0010-0000-0000-000002000000}" name=" Location: {CITY}, {STATE}, India"/>
    <tableColumn id="3" xr3:uid="{00000000-0010-0000-0000-000003000000}" name="Capacity MW"/>
    <tableColumn id="4" xr3:uid="{00000000-0010-0000-0000-000004000000}" name="Automatic Robots"/>
    <tableColumn id="5" xr3:uid="{00000000-0010-0000-0000-000005000000}" name="Semi-Automatic Robots"/>
    <tableColumn id="6" xr3:uid="{00000000-0010-0000-0000-000006000000}" name=" Array type:  (fixed-tilt / single-axis tracker / mixed / rooftop )"/>
    <tableColumn id="7" xr3:uid="{00000000-0010-0000-0000-000007000000}" name="Commissioning / year"/>
    <tableColumn id="8" xr3:uid="{00000000-0010-0000-0000-000008000000}" name="Soiling / environment"/>
    <tableColumn id="9" xr3:uid="{00000000-0010-0000-0000-000009000000}" name="O&amp;M challenge before Taypro"/>
    <tableColumn id="10" xr3:uid="{00000000-0010-0000-0000-00000A000000}" name="Water / labour constraints"/>
    <tableColumn id="11" xr3:uid="{00000000-0010-0000-0000-00000B000000}" name="Robot / system (e.g. GLYDE, GLYDE-X, HELYX, NYUMA)"/>
    <tableColumn id="12" xr3:uid="{00000000-0010-0000-0000-00000C000000}" name="Cleaning mode (automatic / semi-automatic / mixed)"/>
    <tableColumn id="13" xr3:uid="{00000000-0010-0000-0000-00000D000000}" name="Procurement model(CAPEX purchase / Taypro Opex service / both)"/>
    <tableColumn id="14" xr3:uid="{00000000-0010-0000-0000-00000E000000}" name="Monitoring / operations: {OPERATIONS} (e.g. NECTYR fleet visibility, cycle scheduling)"/>
    <tableColumn id="15" xr3:uid="{00000000-0010-0000-0000-00000F000000}" name="Operational outcomes"/>
    <tableColumn id="16" xr3:uid="{00000000-0010-0000-0000-000010000000}" name="What to highlight in the case study"/>
    <tableColumn id="17" xr3:uid="{00000000-0010-0000-0000-000011000000}" name="Include on the project_x000a_  (choose one or more: Automatic, Semi-Automatic, Capex)"/>
    <tableColumn id="18" xr3:uid="{00000000-0010-0000-0000-000012000000}" name="Primary keyword"/>
    <tableColumn id="19" xr3:uid="{00000000-0010-0000-0000-000013000000}" name="Secondary keywords"/>
    <tableColumn id="20" xr3:uid="{00000000-0010-0000-0000-000014000000}" name="ACCURACY RULES"/>
    <tableColumn id="21" xr3:uid="{00000000-0010-0000-0000-000015000000}" name="Assumptions allowed (yes / no — if no, omit unknown MW/location)"/>
    <tableColumn id="22" xr3:uid="{00000000-0010-0000-0000-000016000000}" name="Project Images Link"/>
    <tableColumn id="23" xr3:uid="{00000000-0010-0000-0000-000017000000}" name="Water Saved/Year"/>
    <tableColumn id="24" xr3:uid="{00000000-0010-0000-0000-000018000000}" name="Additional Units Generated/Year"/>
    <tableColumn id="25" xr3:uid="{00000000-0010-0000-0000-000019000000}" name="CO2 Saved/Year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30"/>
  <sheetViews>
    <sheetView tabSelected="1" topLeftCell="A4" zoomScaleNormal="100" workbookViewId="0">
      <pane xSplit="1" topLeftCell="B1" activePane="topRight" state="frozen"/>
      <selection pane="topRight" activeCell="U16" sqref="U16"/>
    </sheetView>
  </sheetViews>
  <sheetFormatPr baseColWidth="10" defaultColWidth="11" defaultRowHeight="16" x14ac:dyDescent="0.2"/>
  <cols>
    <col min="1" max="1" width="31.6640625" style="1" customWidth="1"/>
    <col min="2" max="2" width="29.1640625" style="1" customWidth="1"/>
    <col min="3" max="3" width="13.83203125" customWidth="1"/>
    <col min="4" max="4" width="17.83203125" style="1" customWidth="1"/>
    <col min="5" max="5" width="22.83203125" style="1" customWidth="1"/>
    <col min="6" max="6" width="53.33203125" style="1" customWidth="1"/>
    <col min="7" max="7" width="21.1640625" style="1" customWidth="1"/>
    <col min="8" max="8" width="80" bestFit="1" customWidth="1"/>
    <col min="9" max="9" width="135.5" bestFit="1" customWidth="1"/>
    <col min="10" max="10" width="92.33203125" bestFit="1" customWidth="1"/>
    <col min="11" max="11" width="48.33203125" customWidth="1"/>
    <col min="12" max="12" width="47.5" customWidth="1"/>
    <col min="13" max="13" width="58.83203125" customWidth="1"/>
    <col min="14" max="14" width="74.83203125" customWidth="1"/>
    <col min="15" max="15" width="21.6640625" customWidth="1"/>
    <col min="16" max="16" width="31.6640625" customWidth="1"/>
    <col min="17" max="17" width="35.5" customWidth="1"/>
    <col min="18" max="18" width="16.83203125" customWidth="1"/>
    <col min="19" max="19" width="26" customWidth="1"/>
    <col min="20" max="20" width="83.1640625" customWidth="1"/>
    <col min="21" max="21" width="58.33203125" bestFit="1" customWidth="1"/>
    <col min="22" max="22" width="19.33203125" customWidth="1"/>
    <col min="25" max="25" width="24" customWidth="1"/>
  </cols>
  <sheetData>
    <row r="1" spans="1:25" s="3" customFormat="1" ht="61.5" customHeight="1" x14ac:dyDescent="0.2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4" t="s">
        <v>24</v>
      </c>
    </row>
    <row r="2" spans="1:25" ht="15.75" customHeight="1" x14ac:dyDescent="0.2">
      <c r="A2" s="1" t="s">
        <v>25</v>
      </c>
      <c r="B2" s="1" t="s">
        <v>26</v>
      </c>
      <c r="C2" s="1">
        <v>200</v>
      </c>
      <c r="D2" s="1">
        <v>265</v>
      </c>
      <c r="E2" s="1">
        <v>7</v>
      </c>
      <c r="F2" s="5" t="s">
        <v>27</v>
      </c>
      <c r="G2" s="6">
        <v>45455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34</v>
      </c>
      <c r="O2" t="s">
        <v>35</v>
      </c>
      <c r="P2" t="s">
        <v>36</v>
      </c>
      <c r="Q2" t="s">
        <v>37</v>
      </c>
      <c r="R2" t="s">
        <v>38</v>
      </c>
      <c r="S2" t="s">
        <v>39</v>
      </c>
      <c r="T2" t="s">
        <v>40</v>
      </c>
      <c r="U2" t="s">
        <v>416</v>
      </c>
      <c r="W2">
        <f>Table1[[#This Row],[Capacity MW]]*140000</f>
        <v>28000000</v>
      </c>
      <c r="X2">
        <f>Table1[[#This Row],[Capacity MW]]*1000*1500*0.025</f>
        <v>7500000</v>
      </c>
      <c r="Y2">
        <f>Table1[[#This Row],[Capacity MW]]*1000*1500*0.025*0.496/1000</f>
        <v>3720</v>
      </c>
    </row>
    <row r="3" spans="1:25" ht="15.75" customHeight="1" x14ac:dyDescent="0.2">
      <c r="A3" s="1" t="s">
        <v>25</v>
      </c>
      <c r="B3" s="1" t="s">
        <v>41</v>
      </c>
      <c r="C3" s="1">
        <v>70</v>
      </c>
      <c r="D3" s="1">
        <v>106</v>
      </c>
      <c r="E3" s="1">
        <v>54</v>
      </c>
      <c r="F3" s="5" t="s">
        <v>27</v>
      </c>
      <c r="G3" s="6">
        <v>45404</v>
      </c>
      <c r="H3" t="s">
        <v>28</v>
      </c>
      <c r="I3" t="s">
        <v>29</v>
      </c>
      <c r="J3" t="s">
        <v>30</v>
      </c>
      <c r="K3" t="s">
        <v>31</v>
      </c>
      <c r="L3" t="s">
        <v>32</v>
      </c>
      <c r="M3" t="s">
        <v>33</v>
      </c>
      <c r="N3" t="s">
        <v>34</v>
      </c>
      <c r="O3" t="s">
        <v>42</v>
      </c>
      <c r="P3" t="s">
        <v>43</v>
      </c>
      <c r="Q3" t="s">
        <v>37</v>
      </c>
      <c r="R3" t="s">
        <v>38</v>
      </c>
      <c r="S3" t="s">
        <v>44</v>
      </c>
      <c r="T3" t="s">
        <v>40</v>
      </c>
      <c r="U3" t="s">
        <v>416</v>
      </c>
      <c r="W3">
        <f>Table1[[#This Row],[Capacity MW]]*140000</f>
        <v>9800000</v>
      </c>
      <c r="X3">
        <f>Table1[[#This Row],[Capacity MW]]*1000*1500*0.025</f>
        <v>2625000</v>
      </c>
      <c r="Y3">
        <f>Table1[[#This Row],[Capacity MW]]*1000*1500*0.025*0.496/1000</f>
        <v>1302</v>
      </c>
    </row>
    <row r="4" spans="1:25" ht="15.75" customHeight="1" x14ac:dyDescent="0.2">
      <c r="A4" s="1" t="s">
        <v>25</v>
      </c>
      <c r="B4" s="1" t="s">
        <v>45</v>
      </c>
      <c r="C4" s="1">
        <v>50</v>
      </c>
      <c r="D4" s="1">
        <v>96</v>
      </c>
      <c r="E4" s="1">
        <v>19</v>
      </c>
      <c r="F4" s="5" t="s">
        <v>27</v>
      </c>
      <c r="G4" s="7">
        <v>44593</v>
      </c>
      <c r="H4" t="s">
        <v>46</v>
      </c>
      <c r="I4" t="s">
        <v>29</v>
      </c>
      <c r="J4" t="s">
        <v>47</v>
      </c>
      <c r="K4" t="s">
        <v>31</v>
      </c>
      <c r="L4" t="s">
        <v>32</v>
      </c>
      <c r="M4" t="s">
        <v>33</v>
      </c>
      <c r="N4" t="s">
        <v>34</v>
      </c>
      <c r="O4" t="s">
        <v>48</v>
      </c>
      <c r="P4" t="s">
        <v>49</v>
      </c>
      <c r="Q4" t="s">
        <v>37</v>
      </c>
      <c r="R4" t="s">
        <v>38</v>
      </c>
      <c r="S4" t="s">
        <v>50</v>
      </c>
      <c r="T4" t="s">
        <v>40</v>
      </c>
      <c r="U4" t="s">
        <v>416</v>
      </c>
      <c r="W4">
        <f>Table1[[#This Row],[Capacity MW]]*140000</f>
        <v>7000000</v>
      </c>
      <c r="X4">
        <f>Table1[[#This Row],[Capacity MW]]*1000*1500*0.025</f>
        <v>1875000</v>
      </c>
      <c r="Y4">
        <f>Table1[[#This Row],[Capacity MW]]*1000*1500*0.025*0.496/1000</f>
        <v>930</v>
      </c>
    </row>
    <row r="5" spans="1:25" ht="15.75" customHeight="1" x14ac:dyDescent="0.2">
      <c r="A5" s="1" t="s">
        <v>25</v>
      </c>
      <c r="B5" s="1" t="s">
        <v>51</v>
      </c>
      <c r="C5" s="1">
        <v>100</v>
      </c>
      <c r="D5" s="1">
        <v>54</v>
      </c>
      <c r="E5" s="1">
        <v>36</v>
      </c>
      <c r="F5" s="5" t="s">
        <v>27</v>
      </c>
      <c r="G5" s="7">
        <v>45536</v>
      </c>
      <c r="H5" t="s">
        <v>52</v>
      </c>
      <c r="I5" t="s">
        <v>53</v>
      </c>
      <c r="J5" t="s">
        <v>47</v>
      </c>
      <c r="K5" t="s">
        <v>31</v>
      </c>
      <c r="L5" t="s">
        <v>32</v>
      </c>
      <c r="M5" t="s">
        <v>33</v>
      </c>
      <c r="N5" t="s">
        <v>34</v>
      </c>
      <c r="O5" t="s">
        <v>54</v>
      </c>
      <c r="P5" t="s">
        <v>55</v>
      </c>
      <c r="Q5" t="s">
        <v>37</v>
      </c>
      <c r="R5" t="s">
        <v>38</v>
      </c>
      <c r="S5" t="s">
        <v>56</v>
      </c>
      <c r="T5" t="s">
        <v>40</v>
      </c>
      <c r="U5" t="s">
        <v>416</v>
      </c>
      <c r="W5">
        <f>Table1[[#This Row],[Capacity MW]]*140000</f>
        <v>14000000</v>
      </c>
      <c r="X5">
        <f>Table1[[#This Row],[Capacity MW]]*1000*1500*0.025</f>
        <v>3750000</v>
      </c>
      <c r="Y5">
        <f>Table1[[#This Row],[Capacity MW]]*1000*1500*0.025*0.496/1000</f>
        <v>1860</v>
      </c>
    </row>
    <row r="6" spans="1:25" ht="15.75" customHeight="1" x14ac:dyDescent="0.2">
      <c r="A6" s="1" t="s">
        <v>25</v>
      </c>
      <c r="B6" s="1" t="s">
        <v>57</v>
      </c>
      <c r="C6" s="1">
        <v>75</v>
      </c>
      <c r="D6" s="1">
        <v>85</v>
      </c>
      <c r="E6" s="1">
        <v>0</v>
      </c>
      <c r="F6" s="5" t="s">
        <v>27</v>
      </c>
      <c r="G6" s="7">
        <v>45748</v>
      </c>
      <c r="H6" t="s">
        <v>46</v>
      </c>
      <c r="I6" t="s">
        <v>53</v>
      </c>
      <c r="J6" t="s">
        <v>47</v>
      </c>
      <c r="K6" t="s">
        <v>58</v>
      </c>
      <c r="L6" t="s">
        <v>59</v>
      </c>
      <c r="M6" t="s">
        <v>33</v>
      </c>
      <c r="N6" t="s">
        <v>34</v>
      </c>
      <c r="O6" t="s">
        <v>60</v>
      </c>
      <c r="P6" t="s">
        <v>61</v>
      </c>
      <c r="Q6" t="s">
        <v>62</v>
      </c>
      <c r="R6" t="s">
        <v>38</v>
      </c>
      <c r="S6" t="s">
        <v>63</v>
      </c>
      <c r="T6" t="s">
        <v>40</v>
      </c>
      <c r="U6" t="s">
        <v>416</v>
      </c>
      <c r="W6">
        <f>Table1[[#This Row],[Capacity MW]]*140000</f>
        <v>10500000</v>
      </c>
      <c r="X6">
        <f>Table1[[#This Row],[Capacity MW]]*1000*1500*0.025</f>
        <v>2812500</v>
      </c>
      <c r="Y6">
        <f>Table1[[#This Row],[Capacity MW]]*1000*1500*0.025*0.496/1000</f>
        <v>1395</v>
      </c>
    </row>
    <row r="7" spans="1:25" ht="15.75" customHeight="1" x14ac:dyDescent="0.2">
      <c r="A7" s="1" t="s">
        <v>25</v>
      </c>
      <c r="B7" s="1" t="s">
        <v>64</v>
      </c>
      <c r="C7" s="1">
        <v>300</v>
      </c>
      <c r="D7" s="1">
        <v>172</v>
      </c>
      <c r="F7" s="5" t="s">
        <v>27</v>
      </c>
      <c r="G7" s="8" t="s">
        <v>65</v>
      </c>
      <c r="H7" t="s">
        <v>28</v>
      </c>
      <c r="I7" t="s">
        <v>29</v>
      </c>
      <c r="J7" t="s">
        <v>30</v>
      </c>
      <c r="K7" t="s">
        <v>58</v>
      </c>
      <c r="L7" t="s">
        <v>59</v>
      </c>
      <c r="M7" t="s">
        <v>33</v>
      </c>
      <c r="N7" t="s">
        <v>34</v>
      </c>
      <c r="O7" t="s">
        <v>66</v>
      </c>
      <c r="P7" t="s">
        <v>67</v>
      </c>
      <c r="Q7" t="s">
        <v>62</v>
      </c>
      <c r="R7" t="s">
        <v>38</v>
      </c>
      <c r="S7" t="s">
        <v>68</v>
      </c>
      <c r="T7" t="s">
        <v>40</v>
      </c>
      <c r="U7" t="s">
        <v>416</v>
      </c>
      <c r="W7">
        <f>Table1[[#This Row],[Capacity MW]]*140000</f>
        <v>42000000</v>
      </c>
      <c r="X7">
        <f>Table1[[#This Row],[Capacity MW]]*1000*1500*0.025</f>
        <v>11250000</v>
      </c>
      <c r="Y7">
        <f>Table1[[#This Row],[Capacity MW]]*1000*1500*0.025*0.496/1000</f>
        <v>5580</v>
      </c>
    </row>
    <row r="8" spans="1:25" ht="15.75" customHeight="1" x14ac:dyDescent="0.2">
      <c r="A8" s="1" t="s">
        <v>25</v>
      </c>
      <c r="B8" s="1" t="s">
        <v>69</v>
      </c>
      <c r="C8" s="1">
        <v>50</v>
      </c>
      <c r="D8" s="1">
        <v>44</v>
      </c>
      <c r="E8" s="1">
        <v>50</v>
      </c>
      <c r="F8" s="5" t="s">
        <v>27</v>
      </c>
      <c r="G8" s="6">
        <v>46165</v>
      </c>
      <c r="H8" t="s">
        <v>28</v>
      </c>
      <c r="I8" t="s">
        <v>53</v>
      </c>
      <c r="J8" t="s">
        <v>30</v>
      </c>
      <c r="K8" t="s">
        <v>31</v>
      </c>
      <c r="L8" t="s">
        <v>32</v>
      </c>
      <c r="M8" t="s">
        <v>33</v>
      </c>
      <c r="N8" t="s">
        <v>34</v>
      </c>
      <c r="O8" t="s">
        <v>48</v>
      </c>
      <c r="P8" t="s">
        <v>49</v>
      </c>
      <c r="Q8" t="s">
        <v>37</v>
      </c>
      <c r="R8" t="s">
        <v>38</v>
      </c>
      <c r="S8" t="s">
        <v>70</v>
      </c>
      <c r="T8" t="s">
        <v>40</v>
      </c>
      <c r="U8" t="s">
        <v>416</v>
      </c>
      <c r="W8">
        <f>Table1[[#This Row],[Capacity MW]]*140000</f>
        <v>7000000</v>
      </c>
      <c r="X8">
        <f>Table1[[#This Row],[Capacity MW]]*1000*1500*0.025</f>
        <v>1875000</v>
      </c>
      <c r="Y8">
        <f>Table1[[#This Row],[Capacity MW]]*1000*1500*0.025*0.496/1000</f>
        <v>930</v>
      </c>
    </row>
    <row r="9" spans="1:25" ht="15.75" customHeight="1" x14ac:dyDescent="0.2">
      <c r="A9" s="1" t="s">
        <v>25</v>
      </c>
      <c r="B9" s="1" t="s">
        <v>71</v>
      </c>
      <c r="C9" s="1">
        <v>75</v>
      </c>
      <c r="D9" s="1">
        <v>71</v>
      </c>
      <c r="F9" s="5" t="s">
        <v>27</v>
      </c>
      <c r="G9" s="8" t="s">
        <v>65</v>
      </c>
      <c r="H9" t="s">
        <v>28</v>
      </c>
      <c r="I9" t="s">
        <v>53</v>
      </c>
      <c r="J9" t="s">
        <v>30</v>
      </c>
      <c r="K9" t="s">
        <v>58</v>
      </c>
      <c r="L9" t="s">
        <v>59</v>
      </c>
      <c r="M9" t="s">
        <v>33</v>
      </c>
      <c r="N9" t="s">
        <v>34</v>
      </c>
      <c r="O9" t="s">
        <v>60</v>
      </c>
      <c r="P9" t="s">
        <v>61</v>
      </c>
      <c r="Q9" t="s">
        <v>62</v>
      </c>
      <c r="R9" t="s">
        <v>38</v>
      </c>
      <c r="S9" t="s">
        <v>72</v>
      </c>
      <c r="T9" t="s">
        <v>40</v>
      </c>
      <c r="U9" t="s">
        <v>416</v>
      </c>
      <c r="W9">
        <f>Table1[[#This Row],[Capacity MW]]*140000</f>
        <v>10500000</v>
      </c>
      <c r="X9">
        <f>Table1[[#This Row],[Capacity MW]]*1000*1500*0.025</f>
        <v>2812500</v>
      </c>
      <c r="Y9">
        <f>Table1[[#This Row],[Capacity MW]]*1000*1500*0.025*0.496/1000</f>
        <v>1395</v>
      </c>
    </row>
    <row r="10" spans="1:25" ht="15.75" customHeight="1" x14ac:dyDescent="0.2">
      <c r="A10" s="1" t="s">
        <v>25</v>
      </c>
      <c r="B10" s="1" t="s">
        <v>73</v>
      </c>
      <c r="C10" s="1">
        <v>75</v>
      </c>
      <c r="F10" s="5" t="s">
        <v>27</v>
      </c>
      <c r="G10" s="8" t="s">
        <v>65</v>
      </c>
      <c r="H10" t="s">
        <v>28</v>
      </c>
      <c r="I10" t="s">
        <v>74</v>
      </c>
      <c r="J10" t="s">
        <v>30</v>
      </c>
      <c r="K10" t="s">
        <v>75</v>
      </c>
      <c r="L10" t="s">
        <v>76</v>
      </c>
      <c r="M10" t="s">
        <v>33</v>
      </c>
      <c r="N10" t="s">
        <v>77</v>
      </c>
      <c r="O10" t="s">
        <v>60</v>
      </c>
      <c r="P10" t="s">
        <v>61</v>
      </c>
      <c r="Q10" t="s">
        <v>78</v>
      </c>
      <c r="R10" t="s">
        <v>38</v>
      </c>
      <c r="S10" t="s">
        <v>72</v>
      </c>
      <c r="T10" t="s">
        <v>40</v>
      </c>
      <c r="U10" t="s">
        <v>416</v>
      </c>
      <c r="W10">
        <f>Table1[[#This Row],[Capacity MW]]*140000</f>
        <v>10500000</v>
      </c>
      <c r="X10">
        <f>Table1[[#This Row],[Capacity MW]]*1000*1500*0.025</f>
        <v>2812500</v>
      </c>
      <c r="Y10">
        <f>Table1[[#This Row],[Capacity MW]]*1000*1500*0.025*0.496/1000</f>
        <v>1395</v>
      </c>
    </row>
    <row r="11" spans="1:25" ht="15.75" customHeight="1" x14ac:dyDescent="0.2">
      <c r="A11" s="1" t="s">
        <v>79</v>
      </c>
      <c r="B11" s="1" t="s">
        <v>80</v>
      </c>
      <c r="C11" s="1">
        <v>50</v>
      </c>
      <c r="D11" s="1">
        <v>52</v>
      </c>
      <c r="F11" s="5" t="s">
        <v>27</v>
      </c>
      <c r="G11" s="7">
        <v>45627</v>
      </c>
      <c r="H11" t="s">
        <v>81</v>
      </c>
      <c r="I11" t="s">
        <v>53</v>
      </c>
      <c r="J11" t="s">
        <v>47</v>
      </c>
      <c r="K11" t="s">
        <v>58</v>
      </c>
      <c r="L11" t="s">
        <v>59</v>
      </c>
      <c r="M11" t="s">
        <v>33</v>
      </c>
      <c r="N11" t="s">
        <v>34</v>
      </c>
      <c r="O11" t="s">
        <v>48</v>
      </c>
      <c r="P11" t="s">
        <v>82</v>
      </c>
      <c r="Q11" t="s">
        <v>62</v>
      </c>
      <c r="R11" t="s">
        <v>38</v>
      </c>
      <c r="S11" t="s">
        <v>83</v>
      </c>
      <c r="T11" t="s">
        <v>40</v>
      </c>
      <c r="U11" t="s">
        <v>416</v>
      </c>
      <c r="W11">
        <f>Table1[[#This Row],[Capacity MW]]*140000</f>
        <v>7000000</v>
      </c>
      <c r="X11">
        <f>Table1[[#This Row],[Capacity MW]]*1000*1500*0.025</f>
        <v>1875000</v>
      </c>
      <c r="Y11">
        <f>Table1[[#This Row],[Capacity MW]]*1000*1500*0.025*0.496/1000</f>
        <v>930</v>
      </c>
    </row>
    <row r="12" spans="1:25" ht="15.75" customHeight="1" x14ac:dyDescent="0.2">
      <c r="A12" s="1" t="s">
        <v>79</v>
      </c>
      <c r="B12" s="1" t="s">
        <v>84</v>
      </c>
      <c r="C12" s="1">
        <v>150</v>
      </c>
      <c r="D12" s="1">
        <v>25</v>
      </c>
      <c r="F12" s="5" t="s">
        <v>27</v>
      </c>
      <c r="G12" s="6">
        <v>45331</v>
      </c>
      <c r="H12" t="s">
        <v>28</v>
      </c>
      <c r="I12" t="s">
        <v>53</v>
      </c>
      <c r="J12" t="s">
        <v>30</v>
      </c>
      <c r="K12" t="s">
        <v>58</v>
      </c>
      <c r="L12" t="s">
        <v>59</v>
      </c>
      <c r="M12" t="s">
        <v>33</v>
      </c>
      <c r="N12" t="s">
        <v>34</v>
      </c>
      <c r="O12" t="s">
        <v>85</v>
      </c>
      <c r="P12" t="s">
        <v>86</v>
      </c>
      <c r="Q12" t="s">
        <v>62</v>
      </c>
      <c r="R12" t="s">
        <v>38</v>
      </c>
      <c r="S12" t="s">
        <v>87</v>
      </c>
      <c r="T12" t="s">
        <v>40</v>
      </c>
      <c r="U12" t="s">
        <v>416</v>
      </c>
      <c r="W12">
        <f>Table1[[#This Row],[Capacity MW]]*140000</f>
        <v>21000000</v>
      </c>
      <c r="X12">
        <f>Table1[[#This Row],[Capacity MW]]*1000*1500*0.025</f>
        <v>5625000</v>
      </c>
      <c r="Y12">
        <f>Table1[[#This Row],[Capacity MW]]*1000*1500*0.025*0.496/1000</f>
        <v>2790</v>
      </c>
    </row>
    <row r="13" spans="1:25" ht="15.75" customHeight="1" x14ac:dyDescent="0.2">
      <c r="A13" s="1" t="s">
        <v>88</v>
      </c>
      <c r="B13" s="1" t="s">
        <v>89</v>
      </c>
      <c r="C13" s="1">
        <v>25</v>
      </c>
      <c r="D13" s="1">
        <v>51</v>
      </c>
      <c r="E13" s="1">
        <v>3</v>
      </c>
      <c r="F13" s="5" t="s">
        <v>27</v>
      </c>
      <c r="G13" s="9">
        <v>46257</v>
      </c>
      <c r="H13" t="s">
        <v>28</v>
      </c>
      <c r="I13" t="s">
        <v>53</v>
      </c>
      <c r="J13" t="s">
        <v>30</v>
      </c>
      <c r="K13" t="s">
        <v>31</v>
      </c>
      <c r="L13" t="s">
        <v>32</v>
      </c>
      <c r="M13" t="s">
        <v>33</v>
      </c>
      <c r="N13" t="s">
        <v>34</v>
      </c>
      <c r="O13" t="s">
        <v>90</v>
      </c>
      <c r="P13" t="s">
        <v>91</v>
      </c>
      <c r="Q13" t="s">
        <v>37</v>
      </c>
      <c r="R13" t="s">
        <v>38</v>
      </c>
      <c r="S13" t="s">
        <v>92</v>
      </c>
      <c r="T13" t="s">
        <v>40</v>
      </c>
      <c r="U13" t="s">
        <v>416</v>
      </c>
      <c r="W13">
        <f>Table1[[#This Row],[Capacity MW]]*140000</f>
        <v>3500000</v>
      </c>
      <c r="X13">
        <f>Table1[[#This Row],[Capacity MW]]*1000*1500*0.025</f>
        <v>937500</v>
      </c>
      <c r="Y13">
        <f>Table1[[#This Row],[Capacity MW]]*1000*1500*0.025*0.496/1000</f>
        <v>465</v>
      </c>
    </row>
    <row r="14" spans="1:25" ht="15.75" customHeight="1" x14ac:dyDescent="0.2">
      <c r="A14" s="10" t="s">
        <v>93</v>
      </c>
      <c r="B14" s="5" t="s">
        <v>94</v>
      </c>
      <c r="C14" s="5">
        <v>50</v>
      </c>
      <c r="D14" s="5">
        <v>0</v>
      </c>
      <c r="E14" s="5">
        <v>10</v>
      </c>
      <c r="F14" s="5" t="s">
        <v>27</v>
      </c>
      <c r="G14" s="11">
        <v>44317</v>
      </c>
      <c r="H14" t="s">
        <v>95</v>
      </c>
      <c r="I14" t="s">
        <v>74</v>
      </c>
      <c r="J14" t="s">
        <v>47</v>
      </c>
      <c r="K14" t="s">
        <v>75</v>
      </c>
      <c r="L14" t="s">
        <v>76</v>
      </c>
      <c r="M14" t="s">
        <v>33</v>
      </c>
      <c r="N14" t="s">
        <v>77</v>
      </c>
      <c r="O14" t="s">
        <v>48</v>
      </c>
      <c r="P14" t="s">
        <v>96</v>
      </c>
      <c r="Q14" t="s">
        <v>97</v>
      </c>
      <c r="R14" t="s">
        <v>38</v>
      </c>
      <c r="S14" t="s">
        <v>98</v>
      </c>
      <c r="T14" t="s">
        <v>40</v>
      </c>
      <c r="U14" t="s">
        <v>416</v>
      </c>
      <c r="W14">
        <f>Table1[[#This Row],[Capacity MW]]*140000</f>
        <v>7000000</v>
      </c>
      <c r="X14">
        <f>Table1[[#This Row],[Capacity MW]]*1000*1500*0.025</f>
        <v>1875000</v>
      </c>
      <c r="Y14">
        <f>Table1[[#This Row],[Capacity MW]]*1000*1500*0.025*0.496/1000</f>
        <v>930</v>
      </c>
    </row>
    <row r="15" spans="1:25" ht="15.75" customHeight="1" x14ac:dyDescent="0.2">
      <c r="A15" s="10" t="s">
        <v>93</v>
      </c>
      <c r="B15" s="12" t="s">
        <v>99</v>
      </c>
      <c r="C15" s="12">
        <v>1.4</v>
      </c>
      <c r="D15" s="12">
        <v>0</v>
      </c>
      <c r="E15" s="12">
        <v>1</v>
      </c>
      <c r="F15" s="12" t="s">
        <v>27</v>
      </c>
      <c r="G15" s="8">
        <v>45078</v>
      </c>
      <c r="H15" t="s">
        <v>95</v>
      </c>
      <c r="I15" t="s">
        <v>74</v>
      </c>
      <c r="J15" t="s">
        <v>47</v>
      </c>
      <c r="K15" t="s">
        <v>75</v>
      </c>
      <c r="L15" t="s">
        <v>76</v>
      </c>
      <c r="M15" t="s">
        <v>33</v>
      </c>
      <c r="N15" t="s">
        <v>77</v>
      </c>
      <c r="O15" t="s">
        <v>100</v>
      </c>
      <c r="P15" t="s">
        <v>101</v>
      </c>
      <c r="Q15" t="s">
        <v>97</v>
      </c>
      <c r="R15" t="s">
        <v>38</v>
      </c>
      <c r="S15" t="s">
        <v>102</v>
      </c>
      <c r="T15" t="s">
        <v>40</v>
      </c>
      <c r="U15" t="s">
        <v>416</v>
      </c>
      <c r="W15">
        <f>Table1[[#This Row],[Capacity MW]]*140000</f>
        <v>196000</v>
      </c>
      <c r="X15">
        <f>Table1[[#This Row],[Capacity MW]]*1000*1500*0.025</f>
        <v>52500</v>
      </c>
      <c r="Y15">
        <f>Table1[[#This Row],[Capacity MW]]*1000*1500*0.025*0.496/1000</f>
        <v>26.04</v>
      </c>
    </row>
    <row r="16" spans="1:25" ht="15.75" customHeight="1" x14ac:dyDescent="0.2">
      <c r="A16" s="10" t="s">
        <v>93</v>
      </c>
      <c r="B16" s="12" t="s">
        <v>103</v>
      </c>
      <c r="C16" s="12">
        <v>1.4</v>
      </c>
      <c r="D16" s="12">
        <v>0</v>
      </c>
      <c r="E16" s="12">
        <v>1</v>
      </c>
      <c r="F16" s="12" t="s">
        <v>27</v>
      </c>
      <c r="G16" s="8">
        <v>45078</v>
      </c>
      <c r="H16" t="s">
        <v>95</v>
      </c>
      <c r="I16" t="s">
        <v>74</v>
      </c>
      <c r="J16" t="s">
        <v>47</v>
      </c>
      <c r="K16" t="s">
        <v>75</v>
      </c>
      <c r="L16" t="s">
        <v>76</v>
      </c>
      <c r="M16" t="s">
        <v>33</v>
      </c>
      <c r="N16" t="s">
        <v>77</v>
      </c>
      <c r="O16" t="s">
        <v>100</v>
      </c>
      <c r="P16" t="s">
        <v>101</v>
      </c>
      <c r="Q16" t="s">
        <v>97</v>
      </c>
      <c r="R16" t="s">
        <v>38</v>
      </c>
      <c r="S16" t="s">
        <v>104</v>
      </c>
      <c r="T16" t="s">
        <v>40</v>
      </c>
      <c r="U16" t="s">
        <v>416</v>
      </c>
      <c r="W16">
        <f>Table1[[#This Row],[Capacity MW]]*140000</f>
        <v>196000</v>
      </c>
      <c r="X16">
        <f>Table1[[#This Row],[Capacity MW]]*1000*1500*0.025</f>
        <v>52500</v>
      </c>
      <c r="Y16">
        <f>Table1[[#This Row],[Capacity MW]]*1000*1500*0.025*0.496/1000</f>
        <v>26.04</v>
      </c>
    </row>
    <row r="17" spans="1:25" ht="15.75" customHeight="1" x14ac:dyDescent="0.2">
      <c r="A17" s="10" t="s">
        <v>93</v>
      </c>
      <c r="B17" s="12" t="s">
        <v>105</v>
      </c>
      <c r="C17" s="12">
        <v>5</v>
      </c>
      <c r="D17" s="12">
        <v>0</v>
      </c>
      <c r="E17" s="12">
        <v>1</v>
      </c>
      <c r="F17" s="12" t="s">
        <v>27</v>
      </c>
      <c r="G17" s="8">
        <v>45078</v>
      </c>
      <c r="H17" t="s">
        <v>95</v>
      </c>
      <c r="I17" t="s">
        <v>74</v>
      </c>
      <c r="J17" t="s">
        <v>47</v>
      </c>
      <c r="K17" t="s">
        <v>75</v>
      </c>
      <c r="L17" t="s">
        <v>76</v>
      </c>
      <c r="M17" t="s">
        <v>33</v>
      </c>
      <c r="N17" t="s">
        <v>77</v>
      </c>
      <c r="O17" t="s">
        <v>106</v>
      </c>
      <c r="P17" t="s">
        <v>101</v>
      </c>
      <c r="Q17" t="s">
        <v>97</v>
      </c>
      <c r="R17" t="s">
        <v>38</v>
      </c>
      <c r="S17" t="s">
        <v>107</v>
      </c>
      <c r="T17" t="s">
        <v>40</v>
      </c>
      <c r="U17" t="s">
        <v>416</v>
      </c>
      <c r="W17">
        <f>Table1[[#This Row],[Capacity MW]]*140000</f>
        <v>700000</v>
      </c>
      <c r="X17">
        <f>Table1[[#This Row],[Capacity MW]]*1000*1500*0.025</f>
        <v>187500</v>
      </c>
      <c r="Y17">
        <f>Table1[[#This Row],[Capacity MW]]*1000*1500*0.025*0.496/1000</f>
        <v>93</v>
      </c>
    </row>
    <row r="18" spans="1:25" ht="15.75" customHeight="1" x14ac:dyDescent="0.2">
      <c r="A18" s="10" t="s">
        <v>93</v>
      </c>
      <c r="B18" s="12" t="s">
        <v>108</v>
      </c>
      <c r="C18" s="12">
        <v>1.2</v>
      </c>
      <c r="D18" s="12">
        <v>0</v>
      </c>
      <c r="E18" s="12">
        <v>2</v>
      </c>
      <c r="F18" s="12" t="s">
        <v>27</v>
      </c>
      <c r="G18" s="8">
        <v>45078</v>
      </c>
      <c r="H18" t="s">
        <v>95</v>
      </c>
      <c r="I18" t="s">
        <v>74</v>
      </c>
      <c r="J18" t="s">
        <v>47</v>
      </c>
      <c r="K18" t="s">
        <v>75</v>
      </c>
      <c r="L18" t="s">
        <v>76</v>
      </c>
      <c r="M18" t="s">
        <v>33</v>
      </c>
      <c r="N18" t="s">
        <v>77</v>
      </c>
      <c r="O18" t="s">
        <v>109</v>
      </c>
      <c r="P18" t="s">
        <v>101</v>
      </c>
      <c r="Q18" t="s">
        <v>97</v>
      </c>
      <c r="R18" t="s">
        <v>38</v>
      </c>
      <c r="S18" t="s">
        <v>110</v>
      </c>
      <c r="T18" t="s">
        <v>40</v>
      </c>
      <c r="U18" t="s">
        <v>416</v>
      </c>
      <c r="W18">
        <f>Table1[[#This Row],[Capacity MW]]*140000</f>
        <v>168000</v>
      </c>
      <c r="X18">
        <f>Table1[[#This Row],[Capacity MW]]*1000*1500*0.025</f>
        <v>45000</v>
      </c>
      <c r="Y18">
        <f>Table1[[#This Row],[Capacity MW]]*1000*1500*0.025*0.496/1000</f>
        <v>22.32</v>
      </c>
    </row>
    <row r="19" spans="1:25" ht="15.75" customHeight="1" x14ac:dyDescent="0.2">
      <c r="A19" s="10" t="s">
        <v>93</v>
      </c>
      <c r="B19" s="12" t="s">
        <v>111</v>
      </c>
      <c r="C19" s="12">
        <v>7.4</v>
      </c>
      <c r="D19" s="12">
        <v>0</v>
      </c>
      <c r="E19" s="12">
        <v>3</v>
      </c>
      <c r="F19" s="12" t="s">
        <v>27</v>
      </c>
      <c r="G19" s="8">
        <v>45078</v>
      </c>
      <c r="H19" t="s">
        <v>95</v>
      </c>
      <c r="I19" t="s">
        <v>74</v>
      </c>
      <c r="J19" t="s">
        <v>47</v>
      </c>
      <c r="K19" t="s">
        <v>75</v>
      </c>
      <c r="L19" t="s">
        <v>76</v>
      </c>
      <c r="M19" t="s">
        <v>33</v>
      </c>
      <c r="N19" t="s">
        <v>77</v>
      </c>
      <c r="O19" t="s">
        <v>112</v>
      </c>
      <c r="P19" t="s">
        <v>101</v>
      </c>
      <c r="Q19" t="s">
        <v>97</v>
      </c>
      <c r="R19" t="s">
        <v>38</v>
      </c>
      <c r="S19" t="s">
        <v>113</v>
      </c>
      <c r="T19" t="s">
        <v>40</v>
      </c>
      <c r="U19" t="s">
        <v>416</v>
      </c>
      <c r="W19">
        <f>Table1[[#This Row],[Capacity MW]]*140000</f>
        <v>1036000</v>
      </c>
      <c r="X19">
        <f>Table1[[#This Row],[Capacity MW]]*1000*1500*0.025</f>
        <v>277500</v>
      </c>
      <c r="Y19">
        <f>Table1[[#This Row],[Capacity MW]]*1000*1500*0.025*0.496/1000</f>
        <v>137.63999999999999</v>
      </c>
    </row>
    <row r="20" spans="1:25" ht="15.75" customHeight="1" x14ac:dyDescent="0.2">
      <c r="A20" s="10" t="s">
        <v>93</v>
      </c>
      <c r="B20" s="12" t="s">
        <v>114</v>
      </c>
      <c r="C20" s="12">
        <v>60</v>
      </c>
      <c r="D20" s="12">
        <v>0</v>
      </c>
      <c r="E20" s="12">
        <v>1</v>
      </c>
      <c r="F20" s="12" t="s">
        <v>27</v>
      </c>
      <c r="G20" s="8">
        <v>45078</v>
      </c>
      <c r="H20" t="s">
        <v>81</v>
      </c>
      <c r="I20" t="s">
        <v>74</v>
      </c>
      <c r="J20" t="s">
        <v>47</v>
      </c>
      <c r="K20" t="s">
        <v>75</v>
      </c>
      <c r="L20" t="s">
        <v>76</v>
      </c>
      <c r="M20" t="s">
        <v>33</v>
      </c>
      <c r="N20" t="s">
        <v>77</v>
      </c>
      <c r="O20" t="s">
        <v>115</v>
      </c>
      <c r="P20" t="s">
        <v>116</v>
      </c>
      <c r="Q20" t="s">
        <v>97</v>
      </c>
      <c r="R20" t="s">
        <v>38</v>
      </c>
      <c r="S20" t="s">
        <v>117</v>
      </c>
      <c r="T20" t="s">
        <v>40</v>
      </c>
      <c r="U20" t="s">
        <v>416</v>
      </c>
      <c r="W20">
        <f>Table1[[#This Row],[Capacity MW]]*140000</f>
        <v>8400000</v>
      </c>
      <c r="X20">
        <f>Table1[[#This Row],[Capacity MW]]*1000*1500*0.025</f>
        <v>2250000</v>
      </c>
      <c r="Y20">
        <f>Table1[[#This Row],[Capacity MW]]*1000*1500*0.025*0.496/1000</f>
        <v>1116</v>
      </c>
    </row>
    <row r="21" spans="1:25" ht="15.75" customHeight="1" x14ac:dyDescent="0.2">
      <c r="A21" s="13" t="s">
        <v>118</v>
      </c>
      <c r="B21" s="14" t="s">
        <v>119</v>
      </c>
      <c r="C21" s="12">
        <f>100/1000</f>
        <v>0.1</v>
      </c>
      <c r="D21" s="12">
        <v>4</v>
      </c>
      <c r="E21" s="12">
        <v>0</v>
      </c>
      <c r="F21" s="15" t="s">
        <v>120</v>
      </c>
      <c r="G21" s="16">
        <v>46378</v>
      </c>
      <c r="H21" t="s">
        <v>95</v>
      </c>
      <c r="I21" t="s">
        <v>121</v>
      </c>
      <c r="J21" t="s">
        <v>122</v>
      </c>
      <c r="K21" t="s">
        <v>58</v>
      </c>
      <c r="L21" t="s">
        <v>59</v>
      </c>
      <c r="M21" t="s">
        <v>33</v>
      </c>
      <c r="N21" t="s">
        <v>34</v>
      </c>
      <c r="O21" t="s">
        <v>124</v>
      </c>
      <c r="P21" t="s">
        <v>125</v>
      </c>
      <c r="Q21" t="s">
        <v>62</v>
      </c>
      <c r="R21" t="s">
        <v>126</v>
      </c>
      <c r="S21" t="s">
        <v>127</v>
      </c>
      <c r="T21" t="s">
        <v>40</v>
      </c>
      <c r="U21" t="s">
        <v>416</v>
      </c>
      <c r="W21">
        <f>Table1[[#This Row],[Capacity MW]]*140000</f>
        <v>14000</v>
      </c>
      <c r="X21">
        <f>Table1[[#This Row],[Capacity MW]]*1000*1500*0.025</f>
        <v>3750</v>
      </c>
      <c r="Y21">
        <f>Table1[[#This Row],[Capacity MW]]*1000*1500*0.025*0.496/1000</f>
        <v>1.86</v>
      </c>
    </row>
    <row r="22" spans="1:25" ht="15.75" customHeight="1" x14ac:dyDescent="0.2">
      <c r="A22" s="13" t="s">
        <v>128</v>
      </c>
      <c r="B22" s="14" t="s">
        <v>129</v>
      </c>
      <c r="C22" s="17">
        <v>2.5</v>
      </c>
      <c r="D22" s="12">
        <v>16</v>
      </c>
      <c r="E22" s="12">
        <v>0</v>
      </c>
      <c r="F22" s="15" t="s">
        <v>120</v>
      </c>
      <c r="G22" s="18">
        <v>45572</v>
      </c>
      <c r="H22" t="s">
        <v>95</v>
      </c>
      <c r="I22" t="s">
        <v>121</v>
      </c>
      <c r="J22" t="s">
        <v>122</v>
      </c>
      <c r="K22" t="s">
        <v>58</v>
      </c>
      <c r="L22" t="s">
        <v>59</v>
      </c>
      <c r="M22" t="s">
        <v>33</v>
      </c>
      <c r="N22" t="s">
        <v>34</v>
      </c>
      <c r="O22" t="s">
        <v>130</v>
      </c>
      <c r="P22" t="s">
        <v>131</v>
      </c>
      <c r="Q22" t="s">
        <v>62</v>
      </c>
      <c r="R22" t="s">
        <v>126</v>
      </c>
      <c r="S22" t="s">
        <v>132</v>
      </c>
      <c r="T22" t="s">
        <v>40</v>
      </c>
      <c r="U22" t="s">
        <v>416</v>
      </c>
      <c r="W22">
        <f>Table1[[#This Row],[Capacity MW]]*140000</f>
        <v>350000</v>
      </c>
      <c r="X22">
        <f>Table1[[#This Row],[Capacity MW]]*1000*1500*0.025</f>
        <v>93750</v>
      </c>
      <c r="Y22">
        <f>Table1[[#This Row],[Capacity MW]]*1000*1500*0.025*0.496/1000</f>
        <v>46.5</v>
      </c>
    </row>
    <row r="23" spans="1:25" ht="15.75" customHeight="1" x14ac:dyDescent="0.2">
      <c r="A23" s="19" t="s">
        <v>133</v>
      </c>
      <c r="B23" s="14" t="s">
        <v>134</v>
      </c>
      <c r="C23" s="12">
        <v>1.3</v>
      </c>
      <c r="D23" s="12">
        <v>5</v>
      </c>
      <c r="E23" s="12">
        <v>0</v>
      </c>
      <c r="F23" s="15" t="s">
        <v>120</v>
      </c>
      <c r="G23" s="18">
        <v>45507</v>
      </c>
      <c r="H23" t="s">
        <v>52</v>
      </c>
      <c r="I23" t="s">
        <v>121</v>
      </c>
      <c r="J23" t="s">
        <v>122</v>
      </c>
      <c r="K23" t="s">
        <v>58</v>
      </c>
      <c r="L23" t="s">
        <v>59</v>
      </c>
      <c r="M23" t="s">
        <v>33</v>
      </c>
      <c r="N23" t="s">
        <v>34</v>
      </c>
      <c r="O23" t="s">
        <v>135</v>
      </c>
      <c r="P23" t="s">
        <v>136</v>
      </c>
      <c r="Q23" t="s">
        <v>62</v>
      </c>
      <c r="R23" t="s">
        <v>126</v>
      </c>
      <c r="S23" t="s">
        <v>137</v>
      </c>
      <c r="T23" t="s">
        <v>40</v>
      </c>
      <c r="U23" t="s">
        <v>416</v>
      </c>
      <c r="W23">
        <f>Table1[[#This Row],[Capacity MW]]*140000</f>
        <v>182000</v>
      </c>
      <c r="X23">
        <f>Table1[[#This Row],[Capacity MW]]*1000*1500*0.025</f>
        <v>48750</v>
      </c>
      <c r="Y23">
        <f>Table1[[#This Row],[Capacity MW]]*1000*1500*0.025*0.496/1000</f>
        <v>24.18</v>
      </c>
    </row>
    <row r="24" spans="1:25" ht="15.75" customHeight="1" x14ac:dyDescent="0.2">
      <c r="A24" s="19" t="s">
        <v>133</v>
      </c>
      <c r="B24" s="14" t="s">
        <v>138</v>
      </c>
      <c r="C24" s="12">
        <v>0.7</v>
      </c>
      <c r="D24" s="12">
        <v>3</v>
      </c>
      <c r="E24" s="12">
        <v>0</v>
      </c>
      <c r="F24" s="15" t="s">
        <v>120</v>
      </c>
      <c r="G24" s="18">
        <v>45618</v>
      </c>
      <c r="H24" t="s">
        <v>52</v>
      </c>
      <c r="I24" t="s">
        <v>121</v>
      </c>
      <c r="J24" t="s">
        <v>122</v>
      </c>
      <c r="K24" t="s">
        <v>58</v>
      </c>
      <c r="L24" t="s">
        <v>59</v>
      </c>
      <c r="M24" t="s">
        <v>33</v>
      </c>
      <c r="N24" t="s">
        <v>34</v>
      </c>
      <c r="O24" t="s">
        <v>139</v>
      </c>
      <c r="P24" t="s">
        <v>136</v>
      </c>
      <c r="Q24" t="s">
        <v>62</v>
      </c>
      <c r="R24" t="s">
        <v>126</v>
      </c>
      <c r="S24" t="s">
        <v>140</v>
      </c>
      <c r="T24" t="s">
        <v>40</v>
      </c>
      <c r="U24" t="s">
        <v>416</v>
      </c>
      <c r="W24">
        <f>Table1[[#This Row],[Capacity MW]]*140000</f>
        <v>98000</v>
      </c>
      <c r="X24">
        <f>Table1[[#This Row],[Capacity MW]]*1000*1500*0.025</f>
        <v>26250</v>
      </c>
      <c r="Y24">
        <f>Table1[[#This Row],[Capacity MW]]*1000*1500*0.025*0.496/1000</f>
        <v>13.02</v>
      </c>
    </row>
    <row r="25" spans="1:25" ht="15.75" customHeight="1" x14ac:dyDescent="0.2">
      <c r="A25" s="19" t="s">
        <v>133</v>
      </c>
      <c r="B25" s="20" t="s">
        <v>141</v>
      </c>
      <c r="C25" s="12">
        <v>0.3</v>
      </c>
      <c r="D25" s="12">
        <v>4</v>
      </c>
      <c r="E25" s="12">
        <v>0</v>
      </c>
      <c r="F25" s="15" t="s">
        <v>120</v>
      </c>
      <c r="G25" s="12" t="s">
        <v>142</v>
      </c>
      <c r="H25" t="s">
        <v>95</v>
      </c>
      <c r="I25" t="s">
        <v>121</v>
      </c>
      <c r="J25" t="s">
        <v>122</v>
      </c>
      <c r="K25" t="s">
        <v>58</v>
      </c>
      <c r="L25" t="s">
        <v>59</v>
      </c>
      <c r="M25" t="s">
        <v>33</v>
      </c>
      <c r="N25" t="s">
        <v>34</v>
      </c>
      <c r="O25" t="s">
        <v>143</v>
      </c>
      <c r="P25" t="s">
        <v>136</v>
      </c>
      <c r="Q25" t="s">
        <v>62</v>
      </c>
      <c r="R25" t="s">
        <v>126</v>
      </c>
      <c r="S25" t="s">
        <v>144</v>
      </c>
      <c r="T25" t="s">
        <v>40</v>
      </c>
      <c r="U25" t="s">
        <v>416</v>
      </c>
      <c r="W25">
        <f>Table1[[#This Row],[Capacity MW]]*140000</f>
        <v>42000</v>
      </c>
      <c r="X25">
        <f>Table1[[#This Row],[Capacity MW]]*1000*1500*0.025</f>
        <v>11250</v>
      </c>
      <c r="Y25">
        <f>Table1[[#This Row],[Capacity MW]]*1000*1500*0.025*0.496/1000</f>
        <v>5.58</v>
      </c>
    </row>
    <row r="26" spans="1:25" ht="15.75" customHeight="1" x14ac:dyDescent="0.2">
      <c r="A26" s="19" t="s">
        <v>133</v>
      </c>
      <c r="B26" s="20" t="s">
        <v>145</v>
      </c>
      <c r="C26" s="12">
        <v>0.2</v>
      </c>
      <c r="D26" s="12">
        <v>2</v>
      </c>
      <c r="E26" s="12">
        <v>0</v>
      </c>
      <c r="F26" s="15" t="s">
        <v>120</v>
      </c>
      <c r="G26" s="12" t="s">
        <v>142</v>
      </c>
      <c r="H26" t="s">
        <v>95</v>
      </c>
      <c r="I26" t="s">
        <v>121</v>
      </c>
      <c r="J26" t="s">
        <v>122</v>
      </c>
      <c r="K26" t="s">
        <v>58</v>
      </c>
      <c r="L26" t="s">
        <v>59</v>
      </c>
      <c r="M26" t="s">
        <v>33</v>
      </c>
      <c r="N26" t="s">
        <v>34</v>
      </c>
      <c r="O26" t="s">
        <v>146</v>
      </c>
      <c r="P26" t="s">
        <v>136</v>
      </c>
      <c r="Q26" t="s">
        <v>62</v>
      </c>
      <c r="R26" t="s">
        <v>126</v>
      </c>
      <c r="S26" t="s">
        <v>147</v>
      </c>
      <c r="T26" t="s">
        <v>40</v>
      </c>
      <c r="U26" t="s">
        <v>416</v>
      </c>
      <c r="W26">
        <f>Table1[[#This Row],[Capacity MW]]*140000</f>
        <v>28000</v>
      </c>
      <c r="X26">
        <f>Table1[[#This Row],[Capacity MW]]*1000*1500*0.025</f>
        <v>7500</v>
      </c>
      <c r="Y26">
        <f>Table1[[#This Row],[Capacity MW]]*1000*1500*0.025*0.496/1000</f>
        <v>3.72</v>
      </c>
    </row>
    <row r="27" spans="1:25" ht="15.75" customHeight="1" x14ac:dyDescent="0.2">
      <c r="A27" s="19" t="s">
        <v>148</v>
      </c>
      <c r="B27" s="14" t="s">
        <v>149</v>
      </c>
      <c r="C27" s="12">
        <v>0.6</v>
      </c>
      <c r="D27" s="12">
        <v>4</v>
      </c>
      <c r="E27" s="12">
        <v>0</v>
      </c>
      <c r="F27" s="15" t="s">
        <v>120</v>
      </c>
      <c r="G27" s="12" t="s">
        <v>142</v>
      </c>
      <c r="H27" t="s">
        <v>95</v>
      </c>
      <c r="I27" t="s">
        <v>121</v>
      </c>
      <c r="J27" t="s">
        <v>122</v>
      </c>
      <c r="K27" t="s">
        <v>58</v>
      </c>
      <c r="L27" t="s">
        <v>59</v>
      </c>
      <c r="M27" t="s">
        <v>33</v>
      </c>
      <c r="N27" t="s">
        <v>34</v>
      </c>
      <c r="O27" t="s">
        <v>150</v>
      </c>
      <c r="P27" t="s">
        <v>151</v>
      </c>
      <c r="Q27" t="s">
        <v>62</v>
      </c>
      <c r="R27" t="s">
        <v>126</v>
      </c>
      <c r="S27" t="s">
        <v>152</v>
      </c>
      <c r="T27" t="s">
        <v>40</v>
      </c>
      <c r="U27" t="s">
        <v>416</v>
      </c>
      <c r="W27">
        <f>Table1[[#This Row],[Capacity MW]]*140000</f>
        <v>84000</v>
      </c>
      <c r="X27">
        <f>Table1[[#This Row],[Capacity MW]]*1000*1500*0.025</f>
        <v>22500</v>
      </c>
      <c r="Y27">
        <f>Table1[[#This Row],[Capacity MW]]*1000*1500*0.025*0.496/1000</f>
        <v>11.16</v>
      </c>
    </row>
    <row r="28" spans="1:25" ht="15.75" customHeight="1" x14ac:dyDescent="0.2">
      <c r="A28" s="19" t="s">
        <v>148</v>
      </c>
      <c r="B28" s="14" t="s">
        <v>153</v>
      </c>
      <c r="C28" s="12">
        <v>1</v>
      </c>
      <c r="D28" s="12">
        <v>2</v>
      </c>
      <c r="E28" s="12">
        <v>0</v>
      </c>
      <c r="F28" s="12" t="s">
        <v>27</v>
      </c>
      <c r="G28" s="18">
        <v>45540</v>
      </c>
      <c r="H28" t="s">
        <v>95</v>
      </c>
      <c r="I28" t="s">
        <v>74</v>
      </c>
      <c r="J28" t="s">
        <v>47</v>
      </c>
      <c r="K28" t="s">
        <v>58</v>
      </c>
      <c r="L28" t="s">
        <v>59</v>
      </c>
      <c r="M28" t="s">
        <v>33</v>
      </c>
      <c r="N28" t="s">
        <v>34</v>
      </c>
      <c r="O28" t="s">
        <v>154</v>
      </c>
      <c r="P28" t="s">
        <v>155</v>
      </c>
      <c r="Q28" t="s">
        <v>62</v>
      </c>
      <c r="R28" t="s">
        <v>38</v>
      </c>
      <c r="S28" t="s">
        <v>156</v>
      </c>
      <c r="T28" t="s">
        <v>40</v>
      </c>
      <c r="U28" t="s">
        <v>416</v>
      </c>
      <c r="W28">
        <f>Table1[[#This Row],[Capacity MW]]*140000</f>
        <v>140000</v>
      </c>
      <c r="X28">
        <f>Table1[[#This Row],[Capacity MW]]*1000*1500*0.025</f>
        <v>37500</v>
      </c>
      <c r="Y28">
        <f>Table1[[#This Row],[Capacity MW]]*1000*1500*0.025*0.496/1000</f>
        <v>18.600000000000001</v>
      </c>
    </row>
    <row r="29" spans="1:25" ht="15.75" customHeight="1" x14ac:dyDescent="0.2">
      <c r="A29" s="21" t="s">
        <v>157</v>
      </c>
      <c r="B29" s="14" t="s">
        <v>158</v>
      </c>
      <c r="C29" s="12">
        <f>500/1000</f>
        <v>0.5</v>
      </c>
      <c r="D29" s="12">
        <v>12</v>
      </c>
      <c r="E29" s="12">
        <v>0</v>
      </c>
      <c r="F29" s="12" t="s">
        <v>27</v>
      </c>
      <c r="G29" s="16">
        <v>46227</v>
      </c>
      <c r="H29" t="s">
        <v>52</v>
      </c>
      <c r="I29" t="s">
        <v>74</v>
      </c>
      <c r="J29" t="s">
        <v>47</v>
      </c>
      <c r="K29" t="s">
        <v>58</v>
      </c>
      <c r="L29" t="s">
        <v>59</v>
      </c>
      <c r="M29" t="s">
        <v>33</v>
      </c>
      <c r="N29" t="s">
        <v>34</v>
      </c>
      <c r="O29" t="s">
        <v>159</v>
      </c>
      <c r="P29" t="s">
        <v>160</v>
      </c>
      <c r="Q29" t="s">
        <v>62</v>
      </c>
      <c r="R29" t="s">
        <v>38</v>
      </c>
      <c r="S29" t="s">
        <v>161</v>
      </c>
      <c r="T29" t="s">
        <v>40</v>
      </c>
      <c r="U29" t="s">
        <v>416</v>
      </c>
      <c r="W29">
        <f>Table1[[#This Row],[Capacity MW]]*140000</f>
        <v>70000</v>
      </c>
      <c r="X29">
        <f>Table1[[#This Row],[Capacity MW]]*1000*1500*0.025</f>
        <v>18750</v>
      </c>
      <c r="Y29">
        <f>Table1[[#This Row],[Capacity MW]]*1000*1500*0.025*0.496/1000</f>
        <v>9.3000000000000007</v>
      </c>
    </row>
    <row r="30" spans="1:25" ht="15.75" customHeight="1" x14ac:dyDescent="0.2">
      <c r="A30" s="13" t="s">
        <v>162</v>
      </c>
      <c r="B30" s="12" t="s">
        <v>163</v>
      </c>
      <c r="C30" s="12">
        <f>500/1000</f>
        <v>0.5</v>
      </c>
      <c r="D30" s="12">
        <v>0</v>
      </c>
      <c r="E30" s="12">
        <v>1</v>
      </c>
      <c r="F30" s="12" t="s">
        <v>27</v>
      </c>
      <c r="G30" s="8">
        <v>44713</v>
      </c>
      <c r="H30" t="s">
        <v>95</v>
      </c>
      <c r="I30" t="s">
        <v>74</v>
      </c>
      <c r="J30" t="s">
        <v>47</v>
      </c>
      <c r="K30" t="s">
        <v>75</v>
      </c>
      <c r="L30" t="s">
        <v>76</v>
      </c>
      <c r="M30" t="s">
        <v>33</v>
      </c>
      <c r="N30" t="s">
        <v>77</v>
      </c>
      <c r="O30" t="s">
        <v>159</v>
      </c>
      <c r="P30" t="s">
        <v>164</v>
      </c>
      <c r="Q30" t="s">
        <v>97</v>
      </c>
      <c r="R30" t="s">
        <v>38</v>
      </c>
      <c r="S30" t="s">
        <v>165</v>
      </c>
      <c r="T30" t="s">
        <v>40</v>
      </c>
      <c r="U30" t="s">
        <v>416</v>
      </c>
      <c r="W30">
        <f>Table1[[#This Row],[Capacity MW]]*140000</f>
        <v>70000</v>
      </c>
      <c r="X30">
        <f>Table1[[#This Row],[Capacity MW]]*1000*1500*0.025</f>
        <v>18750</v>
      </c>
      <c r="Y30">
        <f>Table1[[#This Row],[Capacity MW]]*1000*1500*0.025*0.496/1000</f>
        <v>9.3000000000000007</v>
      </c>
    </row>
    <row r="31" spans="1:25" ht="15.75" customHeight="1" x14ac:dyDescent="0.2">
      <c r="A31" s="13" t="s">
        <v>166</v>
      </c>
      <c r="B31" s="12" t="s">
        <v>167</v>
      </c>
      <c r="C31" s="12">
        <v>14.9</v>
      </c>
      <c r="D31" s="12">
        <v>0</v>
      </c>
      <c r="E31" s="12">
        <v>1</v>
      </c>
      <c r="F31" s="12" t="s">
        <v>27</v>
      </c>
      <c r="G31" s="8">
        <v>44287</v>
      </c>
      <c r="H31" t="s">
        <v>168</v>
      </c>
      <c r="I31" t="s">
        <v>74</v>
      </c>
      <c r="J31" t="s">
        <v>47</v>
      </c>
      <c r="K31" t="s">
        <v>75</v>
      </c>
      <c r="L31" t="s">
        <v>76</v>
      </c>
      <c r="M31" t="s">
        <v>33</v>
      </c>
      <c r="N31" t="s">
        <v>77</v>
      </c>
      <c r="O31" t="s">
        <v>169</v>
      </c>
      <c r="P31" t="s">
        <v>170</v>
      </c>
      <c r="Q31" t="s">
        <v>97</v>
      </c>
      <c r="R31" t="s">
        <v>38</v>
      </c>
      <c r="S31" t="s">
        <v>171</v>
      </c>
      <c r="T31" t="s">
        <v>40</v>
      </c>
      <c r="U31" t="s">
        <v>416</v>
      </c>
      <c r="W31">
        <f>Table1[[#This Row],[Capacity MW]]*140000</f>
        <v>2086000</v>
      </c>
      <c r="X31">
        <f>Table1[[#This Row],[Capacity MW]]*1000*1500*0.025</f>
        <v>558750</v>
      </c>
      <c r="Y31">
        <f>Table1[[#This Row],[Capacity MW]]*1000*1500*0.025*0.496/1000</f>
        <v>277.14</v>
      </c>
    </row>
    <row r="32" spans="1:25" ht="15.75" customHeight="1" x14ac:dyDescent="0.2">
      <c r="A32" s="13" t="s">
        <v>172</v>
      </c>
      <c r="B32" s="12" t="s">
        <v>173</v>
      </c>
      <c r="C32" s="12">
        <v>10</v>
      </c>
      <c r="D32" s="12">
        <v>0</v>
      </c>
      <c r="E32" s="12">
        <v>2</v>
      </c>
      <c r="F32" s="12" t="s">
        <v>27</v>
      </c>
      <c r="G32" s="18">
        <v>45316</v>
      </c>
      <c r="H32" t="s">
        <v>174</v>
      </c>
      <c r="I32" t="s">
        <v>74</v>
      </c>
      <c r="J32" t="s">
        <v>47</v>
      </c>
      <c r="K32" t="s">
        <v>75</v>
      </c>
      <c r="L32" t="s">
        <v>76</v>
      </c>
      <c r="M32" t="s">
        <v>33</v>
      </c>
      <c r="N32" t="s">
        <v>77</v>
      </c>
      <c r="O32" t="s">
        <v>175</v>
      </c>
      <c r="P32" t="s">
        <v>176</v>
      </c>
      <c r="Q32" t="s">
        <v>97</v>
      </c>
      <c r="R32" t="s">
        <v>38</v>
      </c>
      <c r="S32" t="s">
        <v>177</v>
      </c>
      <c r="T32" t="s">
        <v>40</v>
      </c>
      <c r="U32" t="s">
        <v>416</v>
      </c>
      <c r="W32">
        <f>Table1[[#This Row],[Capacity MW]]*140000</f>
        <v>1400000</v>
      </c>
      <c r="X32">
        <f>Table1[[#This Row],[Capacity MW]]*1000*1500*0.025</f>
        <v>375000</v>
      </c>
      <c r="Y32">
        <f>Table1[[#This Row],[Capacity MW]]*1000*1500*0.025*0.496/1000</f>
        <v>186</v>
      </c>
    </row>
    <row r="33" spans="1:25" ht="15.75" customHeight="1" x14ac:dyDescent="0.2">
      <c r="A33" s="13" t="s">
        <v>178</v>
      </c>
      <c r="B33" s="14" t="s">
        <v>179</v>
      </c>
      <c r="C33" s="12">
        <v>10</v>
      </c>
      <c r="D33" s="12">
        <v>3</v>
      </c>
      <c r="E33" s="12">
        <v>0</v>
      </c>
      <c r="F33" s="12" t="s">
        <v>27</v>
      </c>
      <c r="G33" s="18">
        <v>45184</v>
      </c>
      <c r="H33" t="s">
        <v>174</v>
      </c>
      <c r="I33" t="s">
        <v>74</v>
      </c>
      <c r="J33" t="s">
        <v>47</v>
      </c>
      <c r="K33" t="s">
        <v>58</v>
      </c>
      <c r="L33" t="s">
        <v>59</v>
      </c>
      <c r="M33" t="s">
        <v>33</v>
      </c>
      <c r="N33" t="s">
        <v>34</v>
      </c>
      <c r="O33" t="s">
        <v>175</v>
      </c>
      <c r="P33" t="s">
        <v>180</v>
      </c>
      <c r="Q33" t="s">
        <v>62</v>
      </c>
      <c r="R33" t="s">
        <v>38</v>
      </c>
      <c r="S33" t="s">
        <v>181</v>
      </c>
      <c r="T33" t="s">
        <v>40</v>
      </c>
      <c r="U33" t="s">
        <v>416</v>
      </c>
      <c r="W33">
        <f>Table1[[#This Row],[Capacity MW]]*140000</f>
        <v>1400000</v>
      </c>
      <c r="X33">
        <f>Table1[[#This Row],[Capacity MW]]*1000*1500*0.025</f>
        <v>375000</v>
      </c>
      <c r="Y33">
        <f>Table1[[#This Row],[Capacity MW]]*1000*1500*0.025*0.496/1000</f>
        <v>186</v>
      </c>
    </row>
    <row r="34" spans="1:25" ht="15.75" customHeight="1" x14ac:dyDescent="0.2">
      <c r="A34" s="13" t="s">
        <v>182</v>
      </c>
      <c r="B34" s="12" t="s">
        <v>183</v>
      </c>
      <c r="C34" s="12">
        <f>225/1000</f>
        <v>0.22500000000000001</v>
      </c>
      <c r="D34" s="12">
        <v>0</v>
      </c>
      <c r="E34" s="12">
        <v>1</v>
      </c>
      <c r="F34" s="15" t="s">
        <v>120</v>
      </c>
      <c r="G34" s="18">
        <v>45213</v>
      </c>
      <c r="H34" t="s">
        <v>95</v>
      </c>
      <c r="I34" t="s">
        <v>121</v>
      </c>
      <c r="J34" t="s">
        <v>122</v>
      </c>
      <c r="K34" t="s">
        <v>75</v>
      </c>
      <c r="L34" t="s">
        <v>76</v>
      </c>
      <c r="M34" t="s">
        <v>33</v>
      </c>
      <c r="N34" t="s">
        <v>77</v>
      </c>
      <c r="O34" t="s">
        <v>124</v>
      </c>
      <c r="P34" t="s">
        <v>184</v>
      </c>
      <c r="Q34" t="s">
        <v>97</v>
      </c>
      <c r="R34" t="s">
        <v>126</v>
      </c>
      <c r="S34" t="s">
        <v>185</v>
      </c>
      <c r="T34" t="s">
        <v>40</v>
      </c>
      <c r="U34" t="s">
        <v>416</v>
      </c>
      <c r="W34">
        <f>Table1[[#This Row],[Capacity MW]]*140000</f>
        <v>31500</v>
      </c>
      <c r="X34">
        <f>Table1[[#This Row],[Capacity MW]]*1000*1500*0.025</f>
        <v>8437.5</v>
      </c>
      <c r="Y34">
        <f>Table1[[#This Row],[Capacity MW]]*1000*1500*0.025*0.496/1000</f>
        <v>4.1849999999999996</v>
      </c>
    </row>
    <row r="35" spans="1:25" ht="15.75" customHeight="1" x14ac:dyDescent="0.2">
      <c r="A35" s="19" t="s">
        <v>186</v>
      </c>
      <c r="B35" s="12" t="s">
        <v>187</v>
      </c>
      <c r="C35" s="12">
        <v>1</v>
      </c>
      <c r="D35" s="12">
        <v>0</v>
      </c>
      <c r="E35" s="12">
        <v>1</v>
      </c>
      <c r="F35" s="15" t="s">
        <v>120</v>
      </c>
      <c r="G35" s="8">
        <v>44805</v>
      </c>
      <c r="H35" t="s">
        <v>95</v>
      </c>
      <c r="I35" t="s">
        <v>121</v>
      </c>
      <c r="J35" t="s">
        <v>122</v>
      </c>
      <c r="K35" t="s">
        <v>75</v>
      </c>
      <c r="L35" t="s">
        <v>76</v>
      </c>
      <c r="M35" t="s">
        <v>33</v>
      </c>
      <c r="N35" t="s">
        <v>77</v>
      </c>
      <c r="O35" t="s">
        <v>188</v>
      </c>
      <c r="P35" t="s">
        <v>189</v>
      </c>
      <c r="Q35" t="s">
        <v>97</v>
      </c>
      <c r="R35" t="s">
        <v>126</v>
      </c>
      <c r="S35" t="s">
        <v>190</v>
      </c>
      <c r="T35" t="s">
        <v>40</v>
      </c>
      <c r="U35" t="s">
        <v>416</v>
      </c>
      <c r="W35">
        <f>Table1[[#This Row],[Capacity MW]]*140000</f>
        <v>140000</v>
      </c>
      <c r="X35">
        <f>Table1[[#This Row],[Capacity MW]]*1000*1500*0.025</f>
        <v>37500</v>
      </c>
      <c r="Y35">
        <f>Table1[[#This Row],[Capacity MW]]*1000*1500*0.025*0.496/1000</f>
        <v>18.600000000000001</v>
      </c>
    </row>
    <row r="36" spans="1:25" ht="15.75" customHeight="1" x14ac:dyDescent="0.2">
      <c r="A36" s="19" t="s">
        <v>186</v>
      </c>
      <c r="B36" s="14" t="s">
        <v>191</v>
      </c>
      <c r="C36" s="12">
        <v>1</v>
      </c>
      <c r="D36" s="12">
        <v>0</v>
      </c>
      <c r="E36" s="12">
        <v>1</v>
      </c>
      <c r="F36" s="15" t="s">
        <v>120</v>
      </c>
      <c r="G36" s="8">
        <v>44805</v>
      </c>
      <c r="H36" t="s">
        <v>95</v>
      </c>
      <c r="I36" t="s">
        <v>121</v>
      </c>
      <c r="J36" t="s">
        <v>122</v>
      </c>
      <c r="K36" t="s">
        <v>75</v>
      </c>
      <c r="L36" t="s">
        <v>76</v>
      </c>
      <c r="M36" t="s">
        <v>33</v>
      </c>
      <c r="N36" t="s">
        <v>77</v>
      </c>
      <c r="O36" t="s">
        <v>188</v>
      </c>
      <c r="P36" t="s">
        <v>189</v>
      </c>
      <c r="Q36" t="s">
        <v>97</v>
      </c>
      <c r="R36" t="s">
        <v>126</v>
      </c>
      <c r="S36" t="s">
        <v>192</v>
      </c>
      <c r="T36" t="s">
        <v>40</v>
      </c>
      <c r="U36" t="s">
        <v>416</v>
      </c>
      <c r="W36">
        <f>Table1[[#This Row],[Capacity MW]]*140000</f>
        <v>140000</v>
      </c>
      <c r="X36">
        <f>Table1[[#This Row],[Capacity MW]]*1000*1500*0.025</f>
        <v>37500</v>
      </c>
      <c r="Y36">
        <f>Table1[[#This Row],[Capacity MW]]*1000*1500*0.025*0.496/1000</f>
        <v>18.600000000000001</v>
      </c>
    </row>
    <row r="37" spans="1:25" ht="15.75" customHeight="1" x14ac:dyDescent="0.2">
      <c r="A37" s="19" t="s">
        <v>186</v>
      </c>
      <c r="B37" s="14" t="s">
        <v>193</v>
      </c>
      <c r="C37" s="12">
        <v>1</v>
      </c>
      <c r="D37" s="12">
        <v>0</v>
      </c>
      <c r="E37" s="12">
        <v>1</v>
      </c>
      <c r="F37" s="15" t="s">
        <v>120</v>
      </c>
      <c r="G37" s="8">
        <v>44805</v>
      </c>
      <c r="H37" t="s">
        <v>95</v>
      </c>
      <c r="I37" t="s">
        <v>121</v>
      </c>
      <c r="J37" t="s">
        <v>122</v>
      </c>
      <c r="K37" t="s">
        <v>75</v>
      </c>
      <c r="L37" t="s">
        <v>76</v>
      </c>
      <c r="M37" t="s">
        <v>33</v>
      </c>
      <c r="N37" t="s">
        <v>77</v>
      </c>
      <c r="O37" t="s">
        <v>188</v>
      </c>
      <c r="P37" t="s">
        <v>189</v>
      </c>
      <c r="Q37" t="s">
        <v>97</v>
      </c>
      <c r="R37" t="s">
        <v>126</v>
      </c>
      <c r="S37" t="s">
        <v>194</v>
      </c>
      <c r="T37" t="s">
        <v>40</v>
      </c>
      <c r="U37" t="s">
        <v>416</v>
      </c>
      <c r="W37">
        <f>Table1[[#This Row],[Capacity MW]]*140000</f>
        <v>140000</v>
      </c>
      <c r="X37">
        <f>Table1[[#This Row],[Capacity MW]]*1000*1500*0.025</f>
        <v>37500</v>
      </c>
      <c r="Y37">
        <f>Table1[[#This Row],[Capacity MW]]*1000*1500*0.025*0.496/1000</f>
        <v>18.600000000000001</v>
      </c>
    </row>
    <row r="38" spans="1:25" ht="15.75" customHeight="1" x14ac:dyDescent="0.2">
      <c r="A38" s="13" t="s">
        <v>195</v>
      </c>
      <c r="B38" s="12" t="s">
        <v>195</v>
      </c>
      <c r="C38" s="12">
        <f>1200/1000</f>
        <v>1.2</v>
      </c>
      <c r="D38" s="12">
        <v>0</v>
      </c>
      <c r="E38" s="12">
        <v>1</v>
      </c>
      <c r="F38" s="12" t="s">
        <v>27</v>
      </c>
      <c r="G38" s="8">
        <v>44805</v>
      </c>
      <c r="H38" t="s">
        <v>95</v>
      </c>
      <c r="I38" t="s">
        <v>74</v>
      </c>
      <c r="J38" t="s">
        <v>47</v>
      </c>
      <c r="K38" t="s">
        <v>75</v>
      </c>
      <c r="L38" t="s">
        <v>76</v>
      </c>
      <c r="M38" t="s">
        <v>33</v>
      </c>
      <c r="N38" t="s">
        <v>77</v>
      </c>
      <c r="O38" t="s">
        <v>159</v>
      </c>
      <c r="P38" t="s">
        <v>196</v>
      </c>
      <c r="Q38" t="s">
        <v>97</v>
      </c>
      <c r="R38" t="s">
        <v>38</v>
      </c>
      <c r="S38" t="s">
        <v>197</v>
      </c>
      <c r="T38" t="s">
        <v>40</v>
      </c>
      <c r="U38" t="s">
        <v>416</v>
      </c>
      <c r="W38">
        <f>Table1[[#This Row],[Capacity MW]]*140000</f>
        <v>168000</v>
      </c>
      <c r="X38">
        <f>Table1[[#This Row],[Capacity MW]]*1000*1500*0.025</f>
        <v>45000</v>
      </c>
      <c r="Y38">
        <f>Table1[[#This Row],[Capacity MW]]*1000*1500*0.025*0.496/1000</f>
        <v>22.32</v>
      </c>
    </row>
    <row r="39" spans="1:25" ht="15.75" customHeight="1" x14ac:dyDescent="0.2">
      <c r="A39" s="13" t="s">
        <v>198</v>
      </c>
      <c r="B39" s="12" t="s">
        <v>198</v>
      </c>
      <c r="C39" s="12">
        <v>0.3</v>
      </c>
      <c r="D39" s="12">
        <v>0</v>
      </c>
      <c r="E39" s="12">
        <v>1</v>
      </c>
      <c r="F39" s="12" t="s">
        <v>27</v>
      </c>
      <c r="G39" s="8">
        <v>44197</v>
      </c>
      <c r="H39" t="s">
        <v>95</v>
      </c>
      <c r="I39" t="s">
        <v>74</v>
      </c>
      <c r="J39" t="s">
        <v>47</v>
      </c>
      <c r="K39" t="s">
        <v>75</v>
      </c>
      <c r="L39" t="s">
        <v>76</v>
      </c>
      <c r="M39" t="s">
        <v>33</v>
      </c>
      <c r="N39" t="s">
        <v>77</v>
      </c>
      <c r="O39" t="s">
        <v>199</v>
      </c>
      <c r="P39" t="s">
        <v>200</v>
      </c>
      <c r="Q39" t="s">
        <v>97</v>
      </c>
      <c r="R39" t="s">
        <v>38</v>
      </c>
      <c r="S39" t="s">
        <v>201</v>
      </c>
      <c r="T39" t="s">
        <v>40</v>
      </c>
      <c r="U39" t="s">
        <v>416</v>
      </c>
      <c r="W39">
        <f>Table1[[#This Row],[Capacity MW]]*140000</f>
        <v>42000</v>
      </c>
      <c r="X39">
        <f>Table1[[#This Row],[Capacity MW]]*1000*1500*0.025</f>
        <v>11250</v>
      </c>
      <c r="Y39">
        <f>Table1[[#This Row],[Capacity MW]]*1000*1500*0.025*0.496/1000</f>
        <v>5.58</v>
      </c>
    </row>
    <row r="40" spans="1:25" ht="15.75" customHeight="1" x14ac:dyDescent="0.2">
      <c r="A40" s="19" t="s">
        <v>202</v>
      </c>
      <c r="B40" s="14" t="s">
        <v>203</v>
      </c>
      <c r="C40" s="12">
        <v>75</v>
      </c>
      <c r="D40" s="12">
        <v>91</v>
      </c>
      <c r="E40" s="12">
        <v>3</v>
      </c>
      <c r="F40" s="12" t="s">
        <v>27</v>
      </c>
      <c r="G40" s="8">
        <v>45809</v>
      </c>
      <c r="H40" t="s">
        <v>28</v>
      </c>
      <c r="I40" t="s">
        <v>53</v>
      </c>
      <c r="J40" t="s">
        <v>30</v>
      </c>
      <c r="K40" t="s">
        <v>31</v>
      </c>
      <c r="L40" t="s">
        <v>32</v>
      </c>
      <c r="M40" t="s">
        <v>33</v>
      </c>
      <c r="N40" t="s">
        <v>34</v>
      </c>
      <c r="O40" t="s">
        <v>60</v>
      </c>
      <c r="P40" t="s">
        <v>204</v>
      </c>
      <c r="Q40" t="s">
        <v>37</v>
      </c>
      <c r="R40" t="s">
        <v>38</v>
      </c>
      <c r="S40" t="s">
        <v>205</v>
      </c>
      <c r="T40" t="s">
        <v>40</v>
      </c>
      <c r="U40" t="s">
        <v>416</v>
      </c>
      <c r="W40">
        <f>Table1[[#This Row],[Capacity MW]]*140000</f>
        <v>10500000</v>
      </c>
      <c r="X40">
        <f>Table1[[#This Row],[Capacity MW]]*1000*1500*0.025</f>
        <v>2812500</v>
      </c>
      <c r="Y40">
        <f>Table1[[#This Row],[Capacity MW]]*1000*1500*0.025*0.496/1000</f>
        <v>1395</v>
      </c>
    </row>
    <row r="41" spans="1:25" ht="15.75" customHeight="1" x14ac:dyDescent="0.2">
      <c r="A41" s="19" t="s">
        <v>202</v>
      </c>
      <c r="B41" s="14" t="s">
        <v>206</v>
      </c>
      <c r="C41" s="12">
        <v>250</v>
      </c>
      <c r="D41" s="12">
        <v>10</v>
      </c>
      <c r="E41" s="12">
        <v>0</v>
      </c>
      <c r="F41" s="12" t="s">
        <v>27</v>
      </c>
      <c r="G41" s="8" t="s">
        <v>207</v>
      </c>
      <c r="H41" t="s">
        <v>28</v>
      </c>
      <c r="I41" t="s">
        <v>74</v>
      </c>
      <c r="J41" t="s">
        <v>30</v>
      </c>
      <c r="K41" t="s">
        <v>123</v>
      </c>
      <c r="L41" t="s">
        <v>76</v>
      </c>
      <c r="M41" t="s">
        <v>33</v>
      </c>
      <c r="N41" t="s">
        <v>77</v>
      </c>
      <c r="O41" t="s">
        <v>208</v>
      </c>
      <c r="P41" t="s">
        <v>209</v>
      </c>
      <c r="Q41" t="s">
        <v>97</v>
      </c>
      <c r="R41" t="s">
        <v>38</v>
      </c>
      <c r="S41" t="s">
        <v>210</v>
      </c>
      <c r="T41" t="s">
        <v>40</v>
      </c>
      <c r="U41" t="s">
        <v>416</v>
      </c>
      <c r="W41">
        <f>Table1[[#This Row],[Capacity MW]]*140000</f>
        <v>35000000</v>
      </c>
      <c r="X41">
        <f>Table1[[#This Row],[Capacity MW]]*1000*1500*0.025</f>
        <v>9375000</v>
      </c>
      <c r="Y41">
        <f>Table1[[#This Row],[Capacity MW]]*1000*1500*0.025*0.496/1000</f>
        <v>4650</v>
      </c>
    </row>
    <row r="42" spans="1:25" ht="15.75" customHeight="1" x14ac:dyDescent="0.2">
      <c r="A42" s="13" t="s">
        <v>211</v>
      </c>
      <c r="B42" s="14" t="s">
        <v>212</v>
      </c>
      <c r="C42" s="12">
        <v>1</v>
      </c>
      <c r="D42" s="12">
        <v>0</v>
      </c>
      <c r="E42" s="12">
        <v>1</v>
      </c>
      <c r="F42" s="12" t="s">
        <v>27</v>
      </c>
      <c r="G42" s="8">
        <v>45353</v>
      </c>
      <c r="H42" t="s">
        <v>52</v>
      </c>
      <c r="I42" t="s">
        <v>74</v>
      </c>
      <c r="J42" t="s">
        <v>47</v>
      </c>
      <c r="K42" t="s">
        <v>75</v>
      </c>
      <c r="L42" t="s">
        <v>76</v>
      </c>
      <c r="M42" t="s">
        <v>33</v>
      </c>
      <c r="N42" t="s">
        <v>77</v>
      </c>
      <c r="O42" t="s">
        <v>154</v>
      </c>
      <c r="P42" t="s">
        <v>213</v>
      </c>
      <c r="Q42" t="s">
        <v>97</v>
      </c>
      <c r="R42" t="s">
        <v>38</v>
      </c>
      <c r="S42" t="s">
        <v>214</v>
      </c>
      <c r="T42" t="s">
        <v>40</v>
      </c>
      <c r="U42" t="s">
        <v>416</v>
      </c>
      <c r="W42">
        <f>Table1[[#This Row],[Capacity MW]]*140000</f>
        <v>140000</v>
      </c>
      <c r="X42">
        <f>Table1[[#This Row],[Capacity MW]]*1000*1500*0.025</f>
        <v>37500</v>
      </c>
      <c r="Y42">
        <f>Table1[[#This Row],[Capacity MW]]*1000*1500*0.025*0.496/1000</f>
        <v>18.600000000000001</v>
      </c>
    </row>
    <row r="43" spans="1:25" ht="15.75" customHeight="1" x14ac:dyDescent="0.2">
      <c r="A43" s="13" t="s">
        <v>215</v>
      </c>
      <c r="B43" s="14" t="s">
        <v>216</v>
      </c>
      <c r="C43" s="12">
        <v>360</v>
      </c>
      <c r="D43" s="12">
        <v>0</v>
      </c>
      <c r="E43" s="12">
        <v>80</v>
      </c>
      <c r="F43" s="12" t="s">
        <v>27</v>
      </c>
      <c r="G43" s="8">
        <v>44440</v>
      </c>
      <c r="H43" t="s">
        <v>28</v>
      </c>
      <c r="I43" t="s">
        <v>53</v>
      </c>
      <c r="J43" t="s">
        <v>30</v>
      </c>
      <c r="K43" t="s">
        <v>75</v>
      </c>
      <c r="L43" t="s">
        <v>76</v>
      </c>
      <c r="M43" t="s">
        <v>33</v>
      </c>
      <c r="N43" t="s">
        <v>77</v>
      </c>
      <c r="O43" t="s">
        <v>217</v>
      </c>
      <c r="P43" t="s">
        <v>218</v>
      </c>
      <c r="Q43" t="s">
        <v>97</v>
      </c>
      <c r="R43" t="s">
        <v>38</v>
      </c>
      <c r="S43" t="s">
        <v>219</v>
      </c>
      <c r="T43" t="s">
        <v>40</v>
      </c>
      <c r="U43" t="s">
        <v>416</v>
      </c>
      <c r="W43">
        <f>Table1[[#This Row],[Capacity MW]]*140000</f>
        <v>50400000</v>
      </c>
      <c r="X43">
        <f>Table1[[#This Row],[Capacity MW]]*1000*1500*0.025</f>
        <v>13500000</v>
      </c>
      <c r="Y43">
        <f>Table1[[#This Row],[Capacity MW]]*1000*1500*0.025*0.496/1000</f>
        <v>6696</v>
      </c>
    </row>
    <row r="44" spans="1:25" ht="15.75" customHeight="1" x14ac:dyDescent="0.2">
      <c r="A44" s="13" t="s">
        <v>220</v>
      </c>
      <c r="B44" s="14" t="s">
        <v>221</v>
      </c>
      <c r="C44" s="12">
        <v>300</v>
      </c>
      <c r="D44" s="12">
        <v>0</v>
      </c>
      <c r="E44" s="12">
        <v>40</v>
      </c>
      <c r="F44" s="12" t="s">
        <v>27</v>
      </c>
      <c r="G44" s="8">
        <v>44317</v>
      </c>
      <c r="H44" t="s">
        <v>28</v>
      </c>
      <c r="I44" t="s">
        <v>53</v>
      </c>
      <c r="J44" t="s">
        <v>30</v>
      </c>
      <c r="K44" t="s">
        <v>75</v>
      </c>
      <c r="L44" t="s">
        <v>76</v>
      </c>
      <c r="M44" t="s">
        <v>33</v>
      </c>
      <c r="N44" t="s">
        <v>77</v>
      </c>
      <c r="O44" t="s">
        <v>66</v>
      </c>
      <c r="P44" t="s">
        <v>222</v>
      </c>
      <c r="Q44" t="s">
        <v>97</v>
      </c>
      <c r="R44" t="s">
        <v>38</v>
      </c>
      <c r="S44" t="s">
        <v>223</v>
      </c>
      <c r="T44" t="s">
        <v>40</v>
      </c>
      <c r="U44" t="s">
        <v>416</v>
      </c>
      <c r="W44">
        <f>Table1[[#This Row],[Capacity MW]]*140000</f>
        <v>42000000</v>
      </c>
      <c r="X44">
        <f>Table1[[#This Row],[Capacity MW]]*1000*1500*0.025</f>
        <v>11250000</v>
      </c>
      <c r="Y44">
        <f>Table1[[#This Row],[Capacity MW]]*1000*1500*0.025*0.496/1000</f>
        <v>5580</v>
      </c>
    </row>
    <row r="45" spans="1:25" ht="15.75" customHeight="1" x14ac:dyDescent="0.2">
      <c r="A45" s="13" t="s">
        <v>224</v>
      </c>
      <c r="B45" s="14" t="s">
        <v>225</v>
      </c>
      <c r="C45" s="12">
        <v>0.7</v>
      </c>
      <c r="D45" s="12">
        <v>2</v>
      </c>
      <c r="E45" s="12">
        <v>0</v>
      </c>
      <c r="F45" s="22" t="s">
        <v>120</v>
      </c>
      <c r="G45" s="8">
        <v>45383</v>
      </c>
      <c r="H45" t="s">
        <v>168</v>
      </c>
      <c r="I45" t="s">
        <v>121</v>
      </c>
      <c r="J45" t="s">
        <v>122</v>
      </c>
      <c r="K45" t="s">
        <v>75</v>
      </c>
      <c r="L45" t="s">
        <v>76</v>
      </c>
      <c r="M45" t="s">
        <v>33</v>
      </c>
      <c r="N45" t="s">
        <v>77</v>
      </c>
      <c r="O45" t="s">
        <v>139</v>
      </c>
      <c r="P45" t="s">
        <v>226</v>
      </c>
      <c r="Q45" t="s">
        <v>97</v>
      </c>
      <c r="R45" t="s">
        <v>126</v>
      </c>
      <c r="S45" t="s">
        <v>227</v>
      </c>
      <c r="T45" t="s">
        <v>40</v>
      </c>
      <c r="U45" t="s">
        <v>416</v>
      </c>
      <c r="W45">
        <f>Table1[[#This Row],[Capacity MW]]*140000</f>
        <v>98000</v>
      </c>
      <c r="X45">
        <f>Table1[[#This Row],[Capacity MW]]*1000*1500*0.025</f>
        <v>26250</v>
      </c>
      <c r="Y45">
        <f>Table1[[#This Row],[Capacity MW]]*1000*1500*0.025*0.496/1000</f>
        <v>13.02</v>
      </c>
    </row>
    <row r="46" spans="1:25" ht="15.75" customHeight="1" x14ac:dyDescent="0.2">
      <c r="A46" s="13" t="s">
        <v>228</v>
      </c>
      <c r="B46" s="14" t="s">
        <v>229</v>
      </c>
      <c r="C46" s="12">
        <v>2.5</v>
      </c>
      <c r="D46" s="12">
        <v>0</v>
      </c>
      <c r="E46" s="12">
        <v>5</v>
      </c>
      <c r="F46" s="12" t="s">
        <v>27</v>
      </c>
      <c r="G46" s="8">
        <v>45735</v>
      </c>
      <c r="H46" t="s">
        <v>95</v>
      </c>
      <c r="I46" t="s">
        <v>74</v>
      </c>
      <c r="J46" t="s">
        <v>47</v>
      </c>
      <c r="K46" t="s">
        <v>75</v>
      </c>
      <c r="L46" t="s">
        <v>76</v>
      </c>
      <c r="M46" t="s">
        <v>33</v>
      </c>
      <c r="N46" t="s">
        <v>77</v>
      </c>
      <c r="O46" t="s">
        <v>230</v>
      </c>
      <c r="P46" t="s">
        <v>231</v>
      </c>
      <c r="Q46" t="s">
        <v>97</v>
      </c>
      <c r="R46" t="s">
        <v>38</v>
      </c>
      <c r="S46" t="s">
        <v>232</v>
      </c>
      <c r="T46" t="s">
        <v>40</v>
      </c>
      <c r="U46" t="s">
        <v>416</v>
      </c>
      <c r="W46">
        <f>Table1[[#This Row],[Capacity MW]]*140000</f>
        <v>350000</v>
      </c>
      <c r="X46">
        <f>Table1[[#This Row],[Capacity MW]]*1000*1500*0.025</f>
        <v>93750</v>
      </c>
      <c r="Y46">
        <f>Table1[[#This Row],[Capacity MW]]*1000*1500*0.025*0.496/1000</f>
        <v>46.5</v>
      </c>
    </row>
    <row r="47" spans="1:25" ht="15.75" customHeight="1" x14ac:dyDescent="0.2">
      <c r="A47" s="13" t="s">
        <v>233</v>
      </c>
      <c r="B47" s="14" t="s">
        <v>234</v>
      </c>
      <c r="C47" s="12">
        <v>3</v>
      </c>
      <c r="D47" s="12">
        <v>0</v>
      </c>
      <c r="E47" s="12">
        <v>1</v>
      </c>
      <c r="F47" s="12" t="s">
        <v>27</v>
      </c>
      <c r="G47" s="8">
        <v>45770</v>
      </c>
      <c r="H47" t="s">
        <v>52</v>
      </c>
      <c r="I47" t="s">
        <v>74</v>
      </c>
      <c r="J47" t="s">
        <v>235</v>
      </c>
      <c r="K47" t="s">
        <v>75</v>
      </c>
      <c r="L47" t="s">
        <v>76</v>
      </c>
      <c r="M47" t="s">
        <v>33</v>
      </c>
      <c r="N47" t="s">
        <v>77</v>
      </c>
      <c r="O47" t="s">
        <v>236</v>
      </c>
      <c r="P47" t="s">
        <v>237</v>
      </c>
      <c r="Q47" t="s">
        <v>97</v>
      </c>
      <c r="R47" t="s">
        <v>38</v>
      </c>
      <c r="S47" t="s">
        <v>238</v>
      </c>
      <c r="T47" t="s">
        <v>40</v>
      </c>
      <c r="U47" t="s">
        <v>416</v>
      </c>
      <c r="W47">
        <f>Table1[[#This Row],[Capacity MW]]*140000</f>
        <v>420000</v>
      </c>
      <c r="X47">
        <f>Table1[[#This Row],[Capacity MW]]*1000*1500*0.025</f>
        <v>112500</v>
      </c>
      <c r="Y47">
        <f>Table1[[#This Row],[Capacity MW]]*1000*1500*0.025*0.496/1000</f>
        <v>55.8</v>
      </c>
    </row>
    <row r="48" spans="1:25" ht="15.75" customHeight="1" x14ac:dyDescent="0.2">
      <c r="A48" s="13" t="s">
        <v>239</v>
      </c>
      <c r="B48" s="14" t="s">
        <v>240</v>
      </c>
      <c r="C48" s="12">
        <f>240/1000</f>
        <v>0.24</v>
      </c>
      <c r="D48" s="12">
        <v>0</v>
      </c>
      <c r="E48" s="12">
        <v>1</v>
      </c>
      <c r="F48" s="12" t="s">
        <v>27</v>
      </c>
      <c r="G48" s="8">
        <v>45406</v>
      </c>
      <c r="H48" t="s">
        <v>95</v>
      </c>
      <c r="I48" t="s">
        <v>74</v>
      </c>
      <c r="J48" t="s">
        <v>47</v>
      </c>
      <c r="K48" t="s">
        <v>75</v>
      </c>
      <c r="L48" t="s">
        <v>76</v>
      </c>
      <c r="M48" t="s">
        <v>33</v>
      </c>
      <c r="N48" t="s">
        <v>77</v>
      </c>
      <c r="O48" t="s">
        <v>159</v>
      </c>
      <c r="P48" t="s">
        <v>241</v>
      </c>
      <c r="Q48" t="s">
        <v>97</v>
      </c>
      <c r="R48" t="s">
        <v>38</v>
      </c>
      <c r="S48" t="s">
        <v>242</v>
      </c>
      <c r="T48" t="s">
        <v>40</v>
      </c>
      <c r="U48" t="s">
        <v>416</v>
      </c>
      <c r="W48">
        <f>Table1[[#This Row],[Capacity MW]]*140000</f>
        <v>33600</v>
      </c>
      <c r="X48">
        <f>Table1[[#This Row],[Capacity MW]]*1000*1500*0.025</f>
        <v>9000</v>
      </c>
      <c r="Y48">
        <f>Table1[[#This Row],[Capacity MW]]*1000*1500*0.025*0.496/1000</f>
        <v>4.4640000000000004</v>
      </c>
    </row>
    <row r="49" spans="1:25" ht="15.75" customHeight="1" x14ac:dyDescent="0.2">
      <c r="A49" s="19" t="s">
        <v>243</v>
      </c>
      <c r="B49" s="14" t="s">
        <v>244</v>
      </c>
      <c r="C49" s="12">
        <v>2.5</v>
      </c>
      <c r="D49" s="12">
        <v>12</v>
      </c>
      <c r="E49" s="12">
        <v>0</v>
      </c>
      <c r="F49" s="15" t="s">
        <v>120</v>
      </c>
      <c r="G49" s="8">
        <v>45624</v>
      </c>
      <c r="H49" t="s">
        <v>95</v>
      </c>
      <c r="I49" t="s">
        <v>121</v>
      </c>
      <c r="J49" t="s">
        <v>122</v>
      </c>
      <c r="K49" t="s">
        <v>58</v>
      </c>
      <c r="L49" t="s">
        <v>59</v>
      </c>
      <c r="M49" t="s">
        <v>33</v>
      </c>
      <c r="N49" t="s">
        <v>34</v>
      </c>
      <c r="O49" t="s">
        <v>130</v>
      </c>
      <c r="P49" t="s">
        <v>245</v>
      </c>
      <c r="Q49" t="s">
        <v>62</v>
      </c>
      <c r="R49" t="s">
        <v>126</v>
      </c>
      <c r="S49" t="s">
        <v>246</v>
      </c>
      <c r="T49" t="s">
        <v>40</v>
      </c>
      <c r="U49" t="s">
        <v>416</v>
      </c>
      <c r="W49">
        <f>Table1[[#This Row],[Capacity MW]]*140000</f>
        <v>350000</v>
      </c>
      <c r="X49">
        <f>Table1[[#This Row],[Capacity MW]]*1000*1500*0.025</f>
        <v>93750</v>
      </c>
      <c r="Y49">
        <f>Table1[[#This Row],[Capacity MW]]*1000*1500*0.025*0.496/1000</f>
        <v>46.5</v>
      </c>
    </row>
    <row r="50" spans="1:25" ht="15.75" customHeight="1" x14ac:dyDescent="0.2">
      <c r="A50" s="19" t="s">
        <v>243</v>
      </c>
      <c r="B50" s="14" t="s">
        <v>247</v>
      </c>
      <c r="C50" s="12">
        <v>2</v>
      </c>
      <c r="D50" s="12">
        <v>9</v>
      </c>
      <c r="E50" s="12">
        <v>0</v>
      </c>
      <c r="F50" s="15" t="s">
        <v>120</v>
      </c>
      <c r="G50" s="8">
        <v>45624</v>
      </c>
      <c r="H50" t="s">
        <v>95</v>
      </c>
      <c r="I50" t="s">
        <v>121</v>
      </c>
      <c r="J50" t="s">
        <v>122</v>
      </c>
      <c r="K50" t="s">
        <v>58</v>
      </c>
      <c r="L50" t="s">
        <v>59</v>
      </c>
      <c r="M50" t="s">
        <v>33</v>
      </c>
      <c r="N50" t="s">
        <v>34</v>
      </c>
      <c r="O50" t="s">
        <v>248</v>
      </c>
      <c r="P50" t="s">
        <v>245</v>
      </c>
      <c r="Q50" t="s">
        <v>62</v>
      </c>
      <c r="R50" t="s">
        <v>126</v>
      </c>
      <c r="S50" t="s">
        <v>249</v>
      </c>
      <c r="T50" t="s">
        <v>40</v>
      </c>
      <c r="U50" t="s">
        <v>416</v>
      </c>
      <c r="W50">
        <f>Table1[[#This Row],[Capacity MW]]*140000</f>
        <v>280000</v>
      </c>
      <c r="X50">
        <f>Table1[[#This Row],[Capacity MW]]*1000*1500*0.025</f>
        <v>75000</v>
      </c>
      <c r="Y50">
        <f>Table1[[#This Row],[Capacity MW]]*1000*1500*0.025*0.496/1000</f>
        <v>37.200000000000003</v>
      </c>
    </row>
    <row r="51" spans="1:25" ht="15.75" customHeight="1" x14ac:dyDescent="0.2">
      <c r="A51" s="19" t="s">
        <v>243</v>
      </c>
      <c r="B51" s="14" t="s">
        <v>250</v>
      </c>
      <c r="C51" s="12">
        <v>2</v>
      </c>
      <c r="D51" s="12">
        <v>6</v>
      </c>
      <c r="E51" s="12">
        <v>0</v>
      </c>
      <c r="F51" s="15" t="s">
        <v>120</v>
      </c>
      <c r="G51" s="8">
        <v>45624</v>
      </c>
      <c r="H51" t="s">
        <v>52</v>
      </c>
      <c r="I51" t="s">
        <v>121</v>
      </c>
      <c r="J51" t="s">
        <v>122</v>
      </c>
      <c r="K51" t="s">
        <v>58</v>
      </c>
      <c r="L51" t="s">
        <v>59</v>
      </c>
      <c r="M51" t="s">
        <v>33</v>
      </c>
      <c r="N51" t="s">
        <v>34</v>
      </c>
      <c r="O51" t="s">
        <v>248</v>
      </c>
      <c r="P51" t="s">
        <v>245</v>
      </c>
      <c r="Q51" t="s">
        <v>62</v>
      </c>
      <c r="R51" t="s">
        <v>126</v>
      </c>
      <c r="S51" t="s">
        <v>251</v>
      </c>
      <c r="T51" t="s">
        <v>40</v>
      </c>
      <c r="U51" t="s">
        <v>416</v>
      </c>
      <c r="W51">
        <f>Table1[[#This Row],[Capacity MW]]*140000</f>
        <v>280000</v>
      </c>
      <c r="X51">
        <f>Table1[[#This Row],[Capacity MW]]*1000*1500*0.025</f>
        <v>75000</v>
      </c>
      <c r="Y51">
        <f>Table1[[#This Row],[Capacity MW]]*1000*1500*0.025*0.496/1000</f>
        <v>37.200000000000003</v>
      </c>
    </row>
    <row r="52" spans="1:25" ht="15.75" customHeight="1" x14ac:dyDescent="0.2">
      <c r="A52" s="1" t="s">
        <v>25</v>
      </c>
      <c r="B52" s="20" t="s">
        <v>252</v>
      </c>
      <c r="C52" s="12">
        <v>14</v>
      </c>
      <c r="D52" s="12">
        <v>0</v>
      </c>
      <c r="E52" s="12">
        <v>5</v>
      </c>
      <c r="F52" s="12" t="s">
        <v>27</v>
      </c>
      <c r="G52" s="8" t="s">
        <v>65</v>
      </c>
      <c r="H52" t="s">
        <v>253</v>
      </c>
      <c r="I52" t="s">
        <v>74</v>
      </c>
      <c r="J52" t="s">
        <v>235</v>
      </c>
      <c r="K52" t="s">
        <v>75</v>
      </c>
      <c r="L52" t="s">
        <v>76</v>
      </c>
      <c r="M52" t="s">
        <v>33</v>
      </c>
      <c r="N52" t="s">
        <v>77</v>
      </c>
      <c r="O52" t="s">
        <v>254</v>
      </c>
      <c r="P52" t="s">
        <v>255</v>
      </c>
      <c r="Q52" t="s">
        <v>97</v>
      </c>
      <c r="R52" t="s">
        <v>38</v>
      </c>
      <c r="S52" t="s">
        <v>256</v>
      </c>
      <c r="T52" t="s">
        <v>40</v>
      </c>
      <c r="U52" t="s">
        <v>416</v>
      </c>
      <c r="W52">
        <f>Table1[[#This Row],[Capacity MW]]*140000</f>
        <v>1960000</v>
      </c>
      <c r="X52">
        <f>Table1[[#This Row],[Capacity MW]]*1000*1500*0.025</f>
        <v>525000</v>
      </c>
      <c r="Y52">
        <f>Table1[[#This Row],[Capacity MW]]*1000*1500*0.025*0.496/1000</f>
        <v>260.39999999999998</v>
      </c>
    </row>
    <row r="53" spans="1:25" ht="15.75" customHeight="1" x14ac:dyDescent="0.2">
      <c r="A53" s="1" t="s">
        <v>25</v>
      </c>
      <c r="B53" s="20" t="s">
        <v>257</v>
      </c>
      <c r="C53" s="12">
        <v>4</v>
      </c>
      <c r="D53" s="12">
        <v>0</v>
      </c>
      <c r="E53" s="12">
        <v>2</v>
      </c>
      <c r="F53" s="12" t="s">
        <v>27</v>
      </c>
      <c r="G53" s="8" t="s">
        <v>65</v>
      </c>
      <c r="H53" t="s">
        <v>253</v>
      </c>
      <c r="I53" t="s">
        <v>74</v>
      </c>
      <c r="J53" t="s">
        <v>235</v>
      </c>
      <c r="K53" t="s">
        <v>75</v>
      </c>
      <c r="L53" t="s">
        <v>76</v>
      </c>
      <c r="M53" t="s">
        <v>33</v>
      </c>
      <c r="N53" t="s">
        <v>77</v>
      </c>
      <c r="O53" t="s">
        <v>258</v>
      </c>
      <c r="P53" t="s">
        <v>255</v>
      </c>
      <c r="Q53" t="s">
        <v>97</v>
      </c>
      <c r="R53" t="s">
        <v>38</v>
      </c>
      <c r="S53" t="s">
        <v>259</v>
      </c>
      <c r="T53" t="s">
        <v>40</v>
      </c>
      <c r="U53" t="s">
        <v>416</v>
      </c>
      <c r="W53">
        <f>Table1[[#This Row],[Capacity MW]]*140000</f>
        <v>560000</v>
      </c>
      <c r="X53">
        <f>Table1[[#This Row],[Capacity MW]]*1000*1500*0.025</f>
        <v>150000</v>
      </c>
      <c r="Y53">
        <f>Table1[[#This Row],[Capacity MW]]*1000*1500*0.025*0.496/1000</f>
        <v>74.400000000000006</v>
      </c>
    </row>
    <row r="54" spans="1:25" ht="15.75" customHeight="1" x14ac:dyDescent="0.2">
      <c r="A54" s="1" t="s">
        <v>25</v>
      </c>
      <c r="B54" s="20" t="s">
        <v>260</v>
      </c>
      <c r="C54" s="12">
        <v>2</v>
      </c>
      <c r="D54" s="12">
        <v>0</v>
      </c>
      <c r="E54" s="12">
        <v>2</v>
      </c>
      <c r="F54" s="12" t="s">
        <v>27</v>
      </c>
      <c r="G54" s="8" t="s">
        <v>65</v>
      </c>
      <c r="H54" t="s">
        <v>253</v>
      </c>
      <c r="I54" t="s">
        <v>74</v>
      </c>
      <c r="J54" t="s">
        <v>235</v>
      </c>
      <c r="K54" t="s">
        <v>75</v>
      </c>
      <c r="L54" t="s">
        <v>76</v>
      </c>
      <c r="M54" t="s">
        <v>33</v>
      </c>
      <c r="N54" t="s">
        <v>77</v>
      </c>
      <c r="O54" t="s">
        <v>261</v>
      </c>
      <c r="P54" t="s">
        <v>255</v>
      </c>
      <c r="Q54" t="s">
        <v>97</v>
      </c>
      <c r="R54" t="s">
        <v>38</v>
      </c>
      <c r="S54" t="s">
        <v>262</v>
      </c>
      <c r="T54" t="s">
        <v>40</v>
      </c>
      <c r="U54" t="s">
        <v>416</v>
      </c>
      <c r="W54">
        <f>Table1[[#This Row],[Capacity MW]]*140000</f>
        <v>280000</v>
      </c>
      <c r="X54">
        <f>Table1[[#This Row],[Capacity MW]]*1000*1500*0.025</f>
        <v>75000</v>
      </c>
      <c r="Y54">
        <f>Table1[[#This Row],[Capacity MW]]*1000*1500*0.025*0.496/1000</f>
        <v>37.200000000000003</v>
      </c>
    </row>
    <row r="55" spans="1:25" ht="15.75" customHeight="1" x14ac:dyDescent="0.2">
      <c r="A55" s="1" t="s">
        <v>25</v>
      </c>
      <c r="B55" s="20" t="s">
        <v>263</v>
      </c>
      <c r="C55" s="12">
        <v>6</v>
      </c>
      <c r="D55" s="12">
        <v>0</v>
      </c>
      <c r="E55" s="12">
        <v>3</v>
      </c>
      <c r="F55" s="12" t="s">
        <v>27</v>
      </c>
      <c r="G55" s="8" t="s">
        <v>65</v>
      </c>
      <c r="H55" t="s">
        <v>253</v>
      </c>
      <c r="I55" t="s">
        <v>74</v>
      </c>
      <c r="J55" t="s">
        <v>235</v>
      </c>
      <c r="K55" t="s">
        <v>75</v>
      </c>
      <c r="L55" t="s">
        <v>76</v>
      </c>
      <c r="M55" t="s">
        <v>33</v>
      </c>
      <c r="N55" t="s">
        <v>77</v>
      </c>
      <c r="O55" t="s">
        <v>264</v>
      </c>
      <c r="P55" t="s">
        <v>255</v>
      </c>
      <c r="Q55" t="s">
        <v>97</v>
      </c>
      <c r="R55" t="s">
        <v>38</v>
      </c>
      <c r="S55" t="s">
        <v>265</v>
      </c>
      <c r="T55" t="s">
        <v>40</v>
      </c>
      <c r="U55" t="s">
        <v>416</v>
      </c>
      <c r="W55">
        <f>Table1[[#This Row],[Capacity MW]]*140000</f>
        <v>840000</v>
      </c>
      <c r="X55">
        <f>Table1[[#This Row],[Capacity MW]]*1000*1500*0.025</f>
        <v>225000</v>
      </c>
      <c r="Y55">
        <f>Table1[[#This Row],[Capacity MW]]*1000*1500*0.025*0.496/1000</f>
        <v>111.6</v>
      </c>
    </row>
    <row r="56" spans="1:25" ht="15.75" customHeight="1" x14ac:dyDescent="0.2">
      <c r="A56" s="1" t="s">
        <v>25</v>
      </c>
      <c r="B56" s="20" t="s">
        <v>266</v>
      </c>
      <c r="C56" s="12">
        <v>2</v>
      </c>
      <c r="D56" s="12">
        <v>0</v>
      </c>
      <c r="E56" s="12">
        <v>2</v>
      </c>
      <c r="F56" s="12" t="s">
        <v>27</v>
      </c>
      <c r="G56" s="8" t="s">
        <v>65</v>
      </c>
      <c r="H56" t="s">
        <v>253</v>
      </c>
      <c r="I56" t="s">
        <v>74</v>
      </c>
      <c r="J56" t="s">
        <v>235</v>
      </c>
      <c r="K56" t="s">
        <v>75</v>
      </c>
      <c r="L56" t="s">
        <v>76</v>
      </c>
      <c r="M56" t="s">
        <v>33</v>
      </c>
      <c r="N56" t="s">
        <v>77</v>
      </c>
      <c r="O56" t="s">
        <v>261</v>
      </c>
      <c r="P56" t="s">
        <v>255</v>
      </c>
      <c r="Q56" t="s">
        <v>97</v>
      </c>
      <c r="R56" t="s">
        <v>38</v>
      </c>
      <c r="S56" t="s">
        <v>267</v>
      </c>
      <c r="T56" t="s">
        <v>40</v>
      </c>
      <c r="U56" t="s">
        <v>416</v>
      </c>
      <c r="W56">
        <f>Table1[[#This Row],[Capacity MW]]*140000</f>
        <v>280000</v>
      </c>
      <c r="X56">
        <f>Table1[[#This Row],[Capacity MW]]*1000*1500*0.025</f>
        <v>75000</v>
      </c>
      <c r="Y56">
        <f>Table1[[#This Row],[Capacity MW]]*1000*1500*0.025*0.496/1000</f>
        <v>37.200000000000003</v>
      </c>
    </row>
    <row r="57" spans="1:25" ht="15.75" customHeight="1" x14ac:dyDescent="0.2">
      <c r="A57" s="1" t="s">
        <v>25</v>
      </c>
      <c r="B57" s="20" t="s">
        <v>268</v>
      </c>
      <c r="C57" s="12">
        <v>3</v>
      </c>
      <c r="D57" s="12">
        <v>0</v>
      </c>
      <c r="E57" s="12">
        <v>2</v>
      </c>
      <c r="F57" s="12" t="s">
        <v>27</v>
      </c>
      <c r="G57" s="8" t="s">
        <v>65</v>
      </c>
      <c r="H57" t="s">
        <v>253</v>
      </c>
      <c r="I57" t="s">
        <v>74</v>
      </c>
      <c r="J57" t="s">
        <v>235</v>
      </c>
      <c r="K57" t="s">
        <v>75</v>
      </c>
      <c r="L57" t="s">
        <v>76</v>
      </c>
      <c r="M57" t="s">
        <v>33</v>
      </c>
      <c r="N57" t="s">
        <v>77</v>
      </c>
      <c r="O57" t="s">
        <v>236</v>
      </c>
      <c r="P57" t="s">
        <v>255</v>
      </c>
      <c r="Q57" t="s">
        <v>97</v>
      </c>
      <c r="R57" t="s">
        <v>38</v>
      </c>
      <c r="S57" t="s">
        <v>269</v>
      </c>
      <c r="T57" t="s">
        <v>40</v>
      </c>
      <c r="U57" t="s">
        <v>416</v>
      </c>
      <c r="W57">
        <f>Table1[[#This Row],[Capacity MW]]*140000</f>
        <v>420000</v>
      </c>
      <c r="X57">
        <f>Table1[[#This Row],[Capacity MW]]*1000*1500*0.025</f>
        <v>112500</v>
      </c>
      <c r="Y57">
        <f>Table1[[#This Row],[Capacity MW]]*1000*1500*0.025*0.496/1000</f>
        <v>55.8</v>
      </c>
    </row>
    <row r="58" spans="1:25" ht="15.75" customHeight="1" x14ac:dyDescent="0.2">
      <c r="A58" s="1" t="s">
        <v>25</v>
      </c>
      <c r="B58" s="20" t="s">
        <v>270</v>
      </c>
      <c r="C58" s="12">
        <v>4</v>
      </c>
      <c r="D58" s="12">
        <v>0</v>
      </c>
      <c r="E58" s="12">
        <v>2</v>
      </c>
      <c r="F58" s="12" t="s">
        <v>27</v>
      </c>
      <c r="G58" s="12" t="s">
        <v>65</v>
      </c>
      <c r="H58" t="s">
        <v>253</v>
      </c>
      <c r="I58" t="s">
        <v>74</v>
      </c>
      <c r="J58" t="s">
        <v>235</v>
      </c>
      <c r="K58" t="s">
        <v>75</v>
      </c>
      <c r="L58" t="s">
        <v>76</v>
      </c>
      <c r="M58" t="s">
        <v>33</v>
      </c>
      <c r="N58" t="s">
        <v>77</v>
      </c>
      <c r="O58" t="s">
        <v>258</v>
      </c>
      <c r="P58" t="s">
        <v>255</v>
      </c>
      <c r="Q58" t="s">
        <v>97</v>
      </c>
      <c r="R58" t="s">
        <v>38</v>
      </c>
      <c r="S58" t="s">
        <v>271</v>
      </c>
      <c r="T58" t="s">
        <v>40</v>
      </c>
      <c r="U58" t="s">
        <v>416</v>
      </c>
      <c r="W58">
        <f>Table1[[#This Row],[Capacity MW]]*140000</f>
        <v>560000</v>
      </c>
      <c r="X58">
        <f>Table1[[#This Row],[Capacity MW]]*1000*1500*0.025</f>
        <v>150000</v>
      </c>
      <c r="Y58">
        <f>Table1[[#This Row],[Capacity MW]]*1000*1500*0.025*0.496/1000</f>
        <v>74.400000000000006</v>
      </c>
    </row>
    <row r="59" spans="1:25" ht="15.75" customHeight="1" x14ac:dyDescent="0.2">
      <c r="A59" s="1" t="s">
        <v>25</v>
      </c>
      <c r="B59" s="20" t="s">
        <v>272</v>
      </c>
      <c r="C59" s="12">
        <v>7</v>
      </c>
      <c r="D59" s="12">
        <v>0</v>
      </c>
      <c r="E59" s="12">
        <v>2</v>
      </c>
      <c r="F59" s="12" t="s">
        <v>27</v>
      </c>
      <c r="G59" s="12" t="s">
        <v>65</v>
      </c>
      <c r="H59" t="s">
        <v>253</v>
      </c>
      <c r="I59" t="s">
        <v>74</v>
      </c>
      <c r="J59" t="s">
        <v>235</v>
      </c>
      <c r="K59" t="s">
        <v>75</v>
      </c>
      <c r="L59" t="s">
        <v>76</v>
      </c>
      <c r="M59" t="s">
        <v>33</v>
      </c>
      <c r="N59" t="s">
        <v>77</v>
      </c>
      <c r="O59" t="s">
        <v>273</v>
      </c>
      <c r="P59" t="s">
        <v>255</v>
      </c>
      <c r="Q59" t="s">
        <v>97</v>
      </c>
      <c r="R59" t="s">
        <v>38</v>
      </c>
      <c r="S59" t="s">
        <v>274</v>
      </c>
      <c r="T59" t="s">
        <v>40</v>
      </c>
      <c r="U59" t="s">
        <v>416</v>
      </c>
      <c r="W59">
        <f>Table1[[#This Row],[Capacity MW]]*140000</f>
        <v>980000</v>
      </c>
      <c r="X59">
        <f>Table1[[#This Row],[Capacity MW]]*1000*1500*0.025</f>
        <v>262500</v>
      </c>
      <c r="Y59">
        <f>Table1[[#This Row],[Capacity MW]]*1000*1500*0.025*0.496/1000</f>
        <v>130.19999999999999</v>
      </c>
    </row>
    <row r="60" spans="1:25" ht="15.75" customHeight="1" x14ac:dyDescent="0.2">
      <c r="A60" s="1" t="s">
        <v>25</v>
      </c>
      <c r="B60" s="20" t="s">
        <v>275</v>
      </c>
      <c r="C60" s="12">
        <v>4</v>
      </c>
      <c r="D60" s="12">
        <v>0</v>
      </c>
      <c r="E60" s="12">
        <v>2</v>
      </c>
      <c r="F60" s="12" t="s">
        <v>27</v>
      </c>
      <c r="G60" s="12" t="s">
        <v>65</v>
      </c>
      <c r="H60" t="s">
        <v>253</v>
      </c>
      <c r="I60" t="s">
        <v>74</v>
      </c>
      <c r="J60" t="s">
        <v>235</v>
      </c>
      <c r="K60" t="s">
        <v>75</v>
      </c>
      <c r="L60" t="s">
        <v>76</v>
      </c>
      <c r="M60" t="s">
        <v>33</v>
      </c>
      <c r="N60" t="s">
        <v>77</v>
      </c>
      <c r="O60" t="s">
        <v>258</v>
      </c>
      <c r="P60" t="s">
        <v>255</v>
      </c>
      <c r="Q60" t="s">
        <v>97</v>
      </c>
      <c r="R60" t="s">
        <v>38</v>
      </c>
      <c r="S60" t="s">
        <v>276</v>
      </c>
      <c r="T60" t="s">
        <v>40</v>
      </c>
      <c r="U60" t="s">
        <v>416</v>
      </c>
      <c r="W60">
        <f>Table1[[#This Row],[Capacity MW]]*140000</f>
        <v>560000</v>
      </c>
      <c r="X60">
        <f>Table1[[#This Row],[Capacity MW]]*1000*1500*0.025</f>
        <v>150000</v>
      </c>
      <c r="Y60">
        <f>Table1[[#This Row],[Capacity MW]]*1000*1500*0.025*0.496/1000</f>
        <v>74.400000000000006</v>
      </c>
    </row>
    <row r="61" spans="1:25" ht="15.75" customHeight="1" x14ac:dyDescent="0.2">
      <c r="A61" s="1" t="s">
        <v>25</v>
      </c>
      <c r="B61" s="20" t="s">
        <v>277</v>
      </c>
      <c r="C61" s="12">
        <v>7</v>
      </c>
      <c r="D61" s="12">
        <v>0</v>
      </c>
      <c r="E61" s="12">
        <v>3</v>
      </c>
      <c r="F61" s="12" t="s">
        <v>27</v>
      </c>
      <c r="G61" s="12" t="s">
        <v>65</v>
      </c>
      <c r="H61" t="s">
        <v>253</v>
      </c>
      <c r="I61" t="s">
        <v>74</v>
      </c>
      <c r="J61" t="s">
        <v>235</v>
      </c>
      <c r="K61" t="s">
        <v>75</v>
      </c>
      <c r="L61" t="s">
        <v>76</v>
      </c>
      <c r="M61" t="s">
        <v>33</v>
      </c>
      <c r="N61" t="s">
        <v>77</v>
      </c>
      <c r="O61" t="s">
        <v>273</v>
      </c>
      <c r="P61" t="s">
        <v>255</v>
      </c>
      <c r="Q61" t="s">
        <v>97</v>
      </c>
      <c r="R61" t="s">
        <v>38</v>
      </c>
      <c r="S61" t="s">
        <v>278</v>
      </c>
      <c r="T61" t="s">
        <v>40</v>
      </c>
      <c r="U61" t="s">
        <v>416</v>
      </c>
      <c r="W61">
        <f>Table1[[#This Row],[Capacity MW]]*140000</f>
        <v>980000</v>
      </c>
      <c r="X61">
        <f>Table1[[#This Row],[Capacity MW]]*1000*1500*0.025</f>
        <v>262500</v>
      </c>
      <c r="Y61">
        <f>Table1[[#This Row],[Capacity MW]]*1000*1500*0.025*0.496/1000</f>
        <v>130.19999999999999</v>
      </c>
    </row>
    <row r="62" spans="1:25" ht="15.75" customHeight="1" x14ac:dyDescent="0.2">
      <c r="A62" s="1" t="s">
        <v>25</v>
      </c>
      <c r="B62" s="20" t="s">
        <v>279</v>
      </c>
      <c r="C62" s="12">
        <v>4</v>
      </c>
      <c r="D62" s="12">
        <v>0</v>
      </c>
      <c r="E62" s="12">
        <v>2</v>
      </c>
      <c r="F62" s="12" t="s">
        <v>27</v>
      </c>
      <c r="G62" s="12" t="s">
        <v>65</v>
      </c>
      <c r="H62" t="s">
        <v>253</v>
      </c>
      <c r="I62" t="s">
        <v>74</v>
      </c>
      <c r="J62" t="s">
        <v>235</v>
      </c>
      <c r="K62" t="s">
        <v>75</v>
      </c>
      <c r="L62" t="s">
        <v>76</v>
      </c>
      <c r="M62" t="s">
        <v>33</v>
      </c>
      <c r="N62" t="s">
        <v>77</v>
      </c>
      <c r="O62" t="s">
        <v>258</v>
      </c>
      <c r="P62" t="s">
        <v>255</v>
      </c>
      <c r="Q62" t="s">
        <v>97</v>
      </c>
      <c r="R62" t="s">
        <v>38</v>
      </c>
      <c r="S62" t="s">
        <v>280</v>
      </c>
      <c r="T62" t="s">
        <v>40</v>
      </c>
      <c r="U62" t="s">
        <v>416</v>
      </c>
      <c r="W62">
        <f>Table1[[#This Row],[Capacity MW]]*140000</f>
        <v>560000</v>
      </c>
      <c r="X62">
        <f>Table1[[#This Row],[Capacity MW]]*1000*1500*0.025</f>
        <v>150000</v>
      </c>
      <c r="Y62">
        <f>Table1[[#This Row],[Capacity MW]]*1000*1500*0.025*0.496/1000</f>
        <v>74.400000000000006</v>
      </c>
    </row>
    <row r="63" spans="1:25" ht="15.75" customHeight="1" x14ac:dyDescent="0.2">
      <c r="A63" s="1" t="s">
        <v>25</v>
      </c>
      <c r="B63" s="20" t="s">
        <v>272</v>
      </c>
      <c r="C63" s="12">
        <v>2</v>
      </c>
      <c r="D63" s="12">
        <v>0</v>
      </c>
      <c r="E63" s="12">
        <v>2</v>
      </c>
      <c r="F63" s="12" t="s">
        <v>27</v>
      </c>
      <c r="G63" s="12" t="s">
        <v>65</v>
      </c>
      <c r="H63" t="s">
        <v>253</v>
      </c>
      <c r="I63" t="s">
        <v>74</v>
      </c>
      <c r="J63" t="s">
        <v>235</v>
      </c>
      <c r="K63" t="s">
        <v>75</v>
      </c>
      <c r="L63" t="s">
        <v>76</v>
      </c>
      <c r="M63" t="s">
        <v>33</v>
      </c>
      <c r="N63" t="s">
        <v>77</v>
      </c>
      <c r="O63" t="s">
        <v>261</v>
      </c>
      <c r="P63" t="s">
        <v>255</v>
      </c>
      <c r="Q63" t="s">
        <v>97</v>
      </c>
      <c r="R63" t="s">
        <v>38</v>
      </c>
      <c r="S63" t="s">
        <v>274</v>
      </c>
      <c r="T63" t="s">
        <v>40</v>
      </c>
      <c r="U63" t="s">
        <v>416</v>
      </c>
      <c r="W63">
        <f>Table1[[#This Row],[Capacity MW]]*140000</f>
        <v>280000</v>
      </c>
      <c r="X63">
        <f>Table1[[#This Row],[Capacity MW]]*1000*1500*0.025</f>
        <v>75000</v>
      </c>
      <c r="Y63">
        <f>Table1[[#This Row],[Capacity MW]]*1000*1500*0.025*0.496/1000</f>
        <v>37.200000000000003</v>
      </c>
    </row>
    <row r="64" spans="1:25" ht="15.75" customHeight="1" x14ac:dyDescent="0.2">
      <c r="A64" s="1" t="s">
        <v>25</v>
      </c>
      <c r="B64" s="20" t="s">
        <v>281</v>
      </c>
      <c r="C64" s="12">
        <v>1</v>
      </c>
      <c r="D64" s="12">
        <v>0</v>
      </c>
      <c r="E64" s="12">
        <v>2</v>
      </c>
      <c r="F64" s="12" t="s">
        <v>27</v>
      </c>
      <c r="G64" s="12" t="s">
        <v>65</v>
      </c>
      <c r="H64" t="s">
        <v>253</v>
      </c>
      <c r="I64" t="s">
        <v>74</v>
      </c>
      <c r="J64" t="s">
        <v>235</v>
      </c>
      <c r="K64" t="s">
        <v>75</v>
      </c>
      <c r="L64" t="s">
        <v>76</v>
      </c>
      <c r="M64" t="s">
        <v>33</v>
      </c>
      <c r="N64" t="s">
        <v>77</v>
      </c>
      <c r="O64" t="s">
        <v>154</v>
      </c>
      <c r="P64" t="s">
        <v>255</v>
      </c>
      <c r="Q64" t="s">
        <v>97</v>
      </c>
      <c r="R64" t="s">
        <v>38</v>
      </c>
      <c r="S64" t="s">
        <v>282</v>
      </c>
      <c r="T64" t="s">
        <v>40</v>
      </c>
      <c r="U64" t="s">
        <v>416</v>
      </c>
      <c r="W64">
        <f>Table1[[#This Row],[Capacity MW]]*140000</f>
        <v>140000</v>
      </c>
      <c r="X64">
        <f>Table1[[#This Row],[Capacity MW]]*1000*1500*0.025</f>
        <v>37500</v>
      </c>
      <c r="Y64">
        <f>Table1[[#This Row],[Capacity MW]]*1000*1500*0.025*0.496/1000</f>
        <v>18.600000000000001</v>
      </c>
    </row>
    <row r="65" spans="1:25" ht="15.75" customHeight="1" x14ac:dyDescent="0.2">
      <c r="A65" s="1" t="s">
        <v>25</v>
      </c>
      <c r="B65" s="20" t="s">
        <v>283</v>
      </c>
      <c r="C65" s="12">
        <v>5</v>
      </c>
      <c r="D65" s="12">
        <v>0</v>
      </c>
      <c r="E65" s="12">
        <v>2</v>
      </c>
      <c r="F65" s="12" t="s">
        <v>27</v>
      </c>
      <c r="G65" s="12" t="s">
        <v>65</v>
      </c>
      <c r="H65" t="s">
        <v>253</v>
      </c>
      <c r="I65" t="s">
        <v>74</v>
      </c>
      <c r="J65" t="s">
        <v>235</v>
      </c>
      <c r="K65" t="s">
        <v>75</v>
      </c>
      <c r="L65" t="s">
        <v>76</v>
      </c>
      <c r="M65" t="s">
        <v>33</v>
      </c>
      <c r="N65" t="s">
        <v>77</v>
      </c>
      <c r="O65" t="s">
        <v>106</v>
      </c>
      <c r="P65" t="s">
        <v>255</v>
      </c>
      <c r="Q65" t="s">
        <v>97</v>
      </c>
      <c r="R65" t="s">
        <v>38</v>
      </c>
      <c r="S65" t="s">
        <v>284</v>
      </c>
      <c r="T65" t="s">
        <v>40</v>
      </c>
      <c r="U65" t="s">
        <v>416</v>
      </c>
      <c r="W65">
        <f>Table1[[#This Row],[Capacity MW]]*140000</f>
        <v>700000</v>
      </c>
      <c r="X65">
        <f>Table1[[#This Row],[Capacity MW]]*1000*1500*0.025</f>
        <v>187500</v>
      </c>
      <c r="Y65">
        <f>Table1[[#This Row],[Capacity MW]]*1000*1500*0.025*0.496/1000</f>
        <v>93</v>
      </c>
    </row>
    <row r="66" spans="1:25" ht="15.75" customHeight="1" x14ac:dyDescent="0.2">
      <c r="A66" s="1" t="s">
        <v>25</v>
      </c>
      <c r="B66" s="20" t="s">
        <v>285</v>
      </c>
      <c r="C66" s="12">
        <v>5</v>
      </c>
      <c r="D66" s="12">
        <v>0</v>
      </c>
      <c r="E66" s="12">
        <v>2</v>
      </c>
      <c r="F66" s="12" t="s">
        <v>27</v>
      </c>
      <c r="G66" s="12" t="s">
        <v>65</v>
      </c>
      <c r="H66" t="s">
        <v>253</v>
      </c>
      <c r="I66" t="s">
        <v>74</v>
      </c>
      <c r="J66" t="s">
        <v>235</v>
      </c>
      <c r="K66" t="s">
        <v>75</v>
      </c>
      <c r="L66" t="s">
        <v>76</v>
      </c>
      <c r="M66" t="s">
        <v>33</v>
      </c>
      <c r="N66" t="s">
        <v>77</v>
      </c>
      <c r="O66" t="s">
        <v>106</v>
      </c>
      <c r="P66" t="s">
        <v>255</v>
      </c>
      <c r="Q66" t="s">
        <v>97</v>
      </c>
      <c r="R66" t="s">
        <v>38</v>
      </c>
      <c r="S66" t="s">
        <v>286</v>
      </c>
      <c r="T66" t="s">
        <v>40</v>
      </c>
      <c r="U66" t="s">
        <v>416</v>
      </c>
      <c r="W66">
        <f>Table1[[#This Row],[Capacity MW]]*140000</f>
        <v>700000</v>
      </c>
      <c r="X66">
        <f>Table1[[#This Row],[Capacity MW]]*1000*1500*0.025</f>
        <v>187500</v>
      </c>
      <c r="Y66">
        <f>Table1[[#This Row],[Capacity MW]]*1000*1500*0.025*0.496/1000</f>
        <v>93</v>
      </c>
    </row>
    <row r="67" spans="1:25" ht="15.75" customHeight="1" x14ac:dyDescent="0.2">
      <c r="A67" s="1" t="s">
        <v>25</v>
      </c>
      <c r="B67" s="20" t="s">
        <v>287</v>
      </c>
      <c r="C67" s="12">
        <v>2</v>
      </c>
      <c r="D67" s="12">
        <v>0</v>
      </c>
      <c r="E67" s="12">
        <v>2</v>
      </c>
      <c r="F67" s="12" t="s">
        <v>27</v>
      </c>
      <c r="G67" s="12" t="s">
        <v>65</v>
      </c>
      <c r="H67" t="s">
        <v>253</v>
      </c>
      <c r="I67" t="s">
        <v>74</v>
      </c>
      <c r="J67" t="s">
        <v>235</v>
      </c>
      <c r="K67" t="s">
        <v>75</v>
      </c>
      <c r="L67" t="s">
        <v>76</v>
      </c>
      <c r="M67" t="s">
        <v>33</v>
      </c>
      <c r="N67" t="s">
        <v>77</v>
      </c>
      <c r="O67" t="s">
        <v>261</v>
      </c>
      <c r="P67" t="s">
        <v>255</v>
      </c>
      <c r="Q67" t="s">
        <v>97</v>
      </c>
      <c r="R67" t="s">
        <v>38</v>
      </c>
      <c r="S67" t="s">
        <v>288</v>
      </c>
      <c r="T67" t="s">
        <v>40</v>
      </c>
      <c r="U67" t="s">
        <v>416</v>
      </c>
      <c r="W67">
        <f>Table1[[#This Row],[Capacity MW]]*140000</f>
        <v>280000</v>
      </c>
      <c r="X67">
        <f>Table1[[#This Row],[Capacity MW]]*1000*1500*0.025</f>
        <v>75000</v>
      </c>
      <c r="Y67">
        <f>Table1[[#This Row],[Capacity MW]]*1000*1500*0.025*0.496/1000</f>
        <v>37.200000000000003</v>
      </c>
    </row>
    <row r="68" spans="1:25" ht="15.75" customHeight="1" x14ac:dyDescent="0.2">
      <c r="A68" s="1" t="s">
        <v>25</v>
      </c>
      <c r="B68" s="20" t="s">
        <v>289</v>
      </c>
      <c r="C68" s="12">
        <v>5</v>
      </c>
      <c r="D68" s="12">
        <v>0</v>
      </c>
      <c r="E68" s="12">
        <v>2</v>
      </c>
      <c r="F68" s="12" t="s">
        <v>27</v>
      </c>
      <c r="G68" s="12" t="s">
        <v>65</v>
      </c>
      <c r="H68" t="s">
        <v>253</v>
      </c>
      <c r="I68" t="s">
        <v>74</v>
      </c>
      <c r="J68" t="s">
        <v>235</v>
      </c>
      <c r="K68" t="s">
        <v>75</v>
      </c>
      <c r="L68" t="s">
        <v>76</v>
      </c>
      <c r="M68" t="s">
        <v>33</v>
      </c>
      <c r="N68" t="s">
        <v>77</v>
      </c>
      <c r="O68" t="s">
        <v>106</v>
      </c>
      <c r="P68" t="s">
        <v>255</v>
      </c>
      <c r="Q68" t="s">
        <v>97</v>
      </c>
      <c r="R68" t="s">
        <v>38</v>
      </c>
      <c r="S68" t="s">
        <v>290</v>
      </c>
      <c r="T68" t="s">
        <v>40</v>
      </c>
      <c r="U68" t="s">
        <v>416</v>
      </c>
      <c r="W68">
        <f>Table1[[#This Row],[Capacity MW]]*140000</f>
        <v>700000</v>
      </c>
      <c r="X68">
        <f>Table1[[#This Row],[Capacity MW]]*1000*1500*0.025</f>
        <v>187500</v>
      </c>
      <c r="Y68">
        <f>Table1[[#This Row],[Capacity MW]]*1000*1500*0.025*0.496/1000</f>
        <v>93</v>
      </c>
    </row>
    <row r="69" spans="1:25" ht="15.75" customHeight="1" x14ac:dyDescent="0.2">
      <c r="A69" s="1" t="s">
        <v>25</v>
      </c>
      <c r="B69" s="20" t="s">
        <v>291</v>
      </c>
      <c r="C69" s="12">
        <v>2</v>
      </c>
      <c r="D69" s="12">
        <v>0</v>
      </c>
      <c r="E69" s="12">
        <v>2</v>
      </c>
      <c r="F69" s="12" t="s">
        <v>27</v>
      </c>
      <c r="G69" s="12" t="s">
        <v>65</v>
      </c>
      <c r="H69" t="s">
        <v>253</v>
      </c>
      <c r="I69" t="s">
        <v>74</v>
      </c>
      <c r="J69" t="s">
        <v>235</v>
      </c>
      <c r="K69" t="s">
        <v>75</v>
      </c>
      <c r="L69" t="s">
        <v>76</v>
      </c>
      <c r="M69" t="s">
        <v>33</v>
      </c>
      <c r="N69" t="s">
        <v>77</v>
      </c>
      <c r="O69" t="s">
        <v>261</v>
      </c>
      <c r="P69" t="s">
        <v>255</v>
      </c>
      <c r="Q69" t="s">
        <v>97</v>
      </c>
      <c r="R69" t="s">
        <v>38</v>
      </c>
      <c r="S69" t="s">
        <v>292</v>
      </c>
      <c r="T69" t="s">
        <v>40</v>
      </c>
      <c r="U69" t="s">
        <v>416</v>
      </c>
      <c r="W69">
        <f>Table1[[#This Row],[Capacity MW]]*140000</f>
        <v>280000</v>
      </c>
      <c r="X69">
        <f>Table1[[#This Row],[Capacity MW]]*1000*1500*0.025</f>
        <v>75000</v>
      </c>
      <c r="Y69">
        <f>Table1[[#This Row],[Capacity MW]]*1000*1500*0.025*0.496/1000</f>
        <v>37.200000000000003</v>
      </c>
    </row>
    <row r="70" spans="1:25" ht="15.75" customHeight="1" x14ac:dyDescent="0.2">
      <c r="A70" s="1" t="s">
        <v>25</v>
      </c>
      <c r="B70" s="20" t="s">
        <v>293</v>
      </c>
      <c r="C70" s="12">
        <v>3</v>
      </c>
      <c r="D70" s="12">
        <v>0</v>
      </c>
      <c r="E70" s="12">
        <v>2</v>
      </c>
      <c r="F70" s="12" t="s">
        <v>27</v>
      </c>
      <c r="G70" s="12" t="s">
        <v>65</v>
      </c>
      <c r="H70" t="s">
        <v>253</v>
      </c>
      <c r="I70" t="s">
        <v>74</v>
      </c>
      <c r="J70" t="s">
        <v>235</v>
      </c>
      <c r="K70" t="s">
        <v>75</v>
      </c>
      <c r="L70" t="s">
        <v>76</v>
      </c>
      <c r="M70" t="s">
        <v>33</v>
      </c>
      <c r="N70" t="s">
        <v>77</v>
      </c>
      <c r="O70" t="s">
        <v>236</v>
      </c>
      <c r="P70" t="s">
        <v>255</v>
      </c>
      <c r="Q70" t="s">
        <v>97</v>
      </c>
      <c r="R70" t="s">
        <v>38</v>
      </c>
      <c r="S70" t="s">
        <v>294</v>
      </c>
      <c r="T70" t="s">
        <v>40</v>
      </c>
      <c r="U70" t="s">
        <v>416</v>
      </c>
      <c r="W70">
        <f>Table1[[#This Row],[Capacity MW]]*140000</f>
        <v>420000</v>
      </c>
      <c r="X70">
        <f>Table1[[#This Row],[Capacity MW]]*1000*1500*0.025</f>
        <v>112500</v>
      </c>
      <c r="Y70">
        <f>Table1[[#This Row],[Capacity MW]]*1000*1500*0.025*0.496/1000</f>
        <v>55.8</v>
      </c>
    </row>
    <row r="71" spans="1:25" ht="15.75" customHeight="1" x14ac:dyDescent="0.2">
      <c r="A71" s="1" t="s">
        <v>25</v>
      </c>
      <c r="B71" s="20" t="s">
        <v>295</v>
      </c>
      <c r="C71" s="12">
        <v>3</v>
      </c>
      <c r="D71" s="12">
        <v>0</v>
      </c>
      <c r="E71" s="12">
        <v>2</v>
      </c>
      <c r="F71" s="12" t="s">
        <v>27</v>
      </c>
      <c r="G71" s="12" t="s">
        <v>65</v>
      </c>
      <c r="H71" t="s">
        <v>253</v>
      </c>
      <c r="I71" t="s">
        <v>74</v>
      </c>
      <c r="J71" t="s">
        <v>235</v>
      </c>
      <c r="K71" t="s">
        <v>75</v>
      </c>
      <c r="L71" t="s">
        <v>76</v>
      </c>
      <c r="M71" t="s">
        <v>33</v>
      </c>
      <c r="N71" t="s">
        <v>77</v>
      </c>
      <c r="O71" t="s">
        <v>236</v>
      </c>
      <c r="P71" t="s">
        <v>255</v>
      </c>
      <c r="Q71" t="s">
        <v>97</v>
      </c>
      <c r="R71" t="s">
        <v>38</v>
      </c>
      <c r="S71" t="s">
        <v>296</v>
      </c>
      <c r="T71" t="s">
        <v>40</v>
      </c>
      <c r="U71" t="s">
        <v>416</v>
      </c>
      <c r="W71">
        <f>Table1[[#This Row],[Capacity MW]]*140000</f>
        <v>420000</v>
      </c>
      <c r="X71">
        <f>Table1[[#This Row],[Capacity MW]]*1000*1500*0.025</f>
        <v>112500</v>
      </c>
      <c r="Y71">
        <f>Table1[[#This Row],[Capacity MW]]*1000*1500*0.025*0.496/1000</f>
        <v>55.8</v>
      </c>
    </row>
    <row r="72" spans="1:25" ht="15.75" customHeight="1" x14ac:dyDescent="0.2">
      <c r="A72" s="1" t="s">
        <v>25</v>
      </c>
      <c r="B72" s="12" t="s">
        <v>297</v>
      </c>
      <c r="C72" s="12">
        <v>360</v>
      </c>
      <c r="D72" s="12">
        <v>0</v>
      </c>
      <c r="E72" s="12">
        <v>80</v>
      </c>
      <c r="F72" s="12" t="s">
        <v>27</v>
      </c>
      <c r="G72" s="12" t="s">
        <v>65</v>
      </c>
      <c r="H72" t="s">
        <v>95</v>
      </c>
      <c r="I72" t="s">
        <v>53</v>
      </c>
      <c r="J72" t="s">
        <v>47</v>
      </c>
      <c r="K72" t="s">
        <v>75</v>
      </c>
      <c r="L72" t="s">
        <v>76</v>
      </c>
      <c r="M72" t="s">
        <v>33</v>
      </c>
      <c r="N72" t="s">
        <v>77</v>
      </c>
      <c r="O72" t="s">
        <v>159</v>
      </c>
      <c r="P72" t="s">
        <v>255</v>
      </c>
      <c r="Q72" t="s">
        <v>97</v>
      </c>
      <c r="R72" t="s">
        <v>38</v>
      </c>
      <c r="S72" t="s">
        <v>298</v>
      </c>
      <c r="T72" t="s">
        <v>40</v>
      </c>
      <c r="U72" t="s">
        <v>416</v>
      </c>
      <c r="W72">
        <f>Table1[[#This Row],[Capacity MW]]*140000</f>
        <v>50400000</v>
      </c>
      <c r="X72">
        <f>Table1[[#This Row],[Capacity MW]]*1000*1500*0.025</f>
        <v>13500000</v>
      </c>
      <c r="Y72">
        <f>Table1[[#This Row],[Capacity MW]]*1000*1500*0.025*0.496/1000</f>
        <v>6696</v>
      </c>
    </row>
    <row r="73" spans="1:25" ht="15.75" customHeight="1" x14ac:dyDescent="0.2">
      <c r="A73" s="1" t="s">
        <v>25</v>
      </c>
      <c r="B73" s="12" t="s">
        <v>299</v>
      </c>
      <c r="C73" s="12">
        <v>300</v>
      </c>
      <c r="D73" s="12">
        <v>0</v>
      </c>
      <c r="E73" s="12">
        <v>40</v>
      </c>
      <c r="F73" s="12" t="s">
        <v>27</v>
      </c>
      <c r="G73" s="12" t="s">
        <v>65</v>
      </c>
      <c r="H73" t="s">
        <v>28</v>
      </c>
      <c r="I73" t="s">
        <v>53</v>
      </c>
      <c r="J73" t="s">
        <v>30</v>
      </c>
      <c r="K73" t="s">
        <v>75</v>
      </c>
      <c r="L73" t="s">
        <v>76</v>
      </c>
      <c r="M73" t="s">
        <v>33</v>
      </c>
      <c r="N73" t="s">
        <v>77</v>
      </c>
      <c r="O73" t="s">
        <v>159</v>
      </c>
      <c r="P73" t="s">
        <v>255</v>
      </c>
      <c r="Q73" t="s">
        <v>97</v>
      </c>
      <c r="R73" t="s">
        <v>38</v>
      </c>
      <c r="S73" t="s">
        <v>300</v>
      </c>
      <c r="T73" t="s">
        <v>40</v>
      </c>
      <c r="U73" t="s">
        <v>416</v>
      </c>
      <c r="W73">
        <f>Table1[[#This Row],[Capacity MW]]*140000</f>
        <v>42000000</v>
      </c>
      <c r="X73">
        <f>Table1[[#This Row],[Capacity MW]]*1000*1500*0.025</f>
        <v>11250000</v>
      </c>
      <c r="Y73">
        <f>Table1[[#This Row],[Capacity MW]]*1000*1500*0.025*0.496/1000</f>
        <v>5580</v>
      </c>
    </row>
    <row r="74" spans="1:25" ht="15.75" customHeight="1" x14ac:dyDescent="0.2">
      <c r="A74" s="1" t="s">
        <v>25</v>
      </c>
      <c r="B74" s="20" t="s">
        <v>301</v>
      </c>
      <c r="C74" s="12">
        <v>50</v>
      </c>
      <c r="D74" s="12">
        <v>44</v>
      </c>
      <c r="E74" s="12">
        <v>50</v>
      </c>
      <c r="F74" s="12" t="s">
        <v>27</v>
      </c>
      <c r="G74" s="12" t="s">
        <v>65</v>
      </c>
      <c r="H74" t="s">
        <v>95</v>
      </c>
      <c r="I74" t="s">
        <v>53</v>
      </c>
      <c r="J74" t="s">
        <v>47</v>
      </c>
      <c r="K74" t="s">
        <v>31</v>
      </c>
      <c r="L74" t="s">
        <v>32</v>
      </c>
      <c r="M74" t="s">
        <v>33</v>
      </c>
      <c r="N74" t="s">
        <v>34</v>
      </c>
      <c r="O74" t="s">
        <v>48</v>
      </c>
      <c r="P74" t="s">
        <v>49</v>
      </c>
      <c r="Q74" t="s">
        <v>37</v>
      </c>
      <c r="R74" t="s">
        <v>38</v>
      </c>
      <c r="S74" t="s">
        <v>302</v>
      </c>
      <c r="T74" t="s">
        <v>40</v>
      </c>
      <c r="U74" t="s">
        <v>416</v>
      </c>
      <c r="W74">
        <f>Table1[[#This Row],[Capacity MW]]*140000</f>
        <v>7000000</v>
      </c>
      <c r="X74">
        <f>Table1[[#This Row],[Capacity MW]]*1000*1500*0.025</f>
        <v>1875000</v>
      </c>
      <c r="Y74">
        <f>Table1[[#This Row],[Capacity MW]]*1000*1500*0.025*0.496/1000</f>
        <v>930</v>
      </c>
    </row>
    <row r="75" spans="1:25" ht="15.75" customHeight="1" x14ac:dyDescent="0.2">
      <c r="A75" s="1" t="s">
        <v>25</v>
      </c>
      <c r="B75" s="20" t="s">
        <v>303</v>
      </c>
      <c r="C75" s="12">
        <v>200</v>
      </c>
      <c r="D75" s="12">
        <v>103</v>
      </c>
      <c r="E75" s="12">
        <v>76</v>
      </c>
      <c r="F75" s="12" t="s">
        <v>27</v>
      </c>
      <c r="G75" s="12" t="s">
        <v>65</v>
      </c>
      <c r="H75" t="s">
        <v>95</v>
      </c>
      <c r="I75" t="s">
        <v>29</v>
      </c>
      <c r="J75" t="s">
        <v>47</v>
      </c>
      <c r="K75" t="s">
        <v>31</v>
      </c>
      <c r="L75" t="s">
        <v>32</v>
      </c>
      <c r="M75" t="s">
        <v>33</v>
      </c>
      <c r="N75" t="s">
        <v>34</v>
      </c>
      <c r="O75" t="s">
        <v>35</v>
      </c>
      <c r="P75" t="s">
        <v>304</v>
      </c>
      <c r="Q75" t="s">
        <v>37</v>
      </c>
      <c r="R75" t="s">
        <v>38</v>
      </c>
      <c r="S75" t="s">
        <v>305</v>
      </c>
      <c r="T75" t="s">
        <v>40</v>
      </c>
      <c r="U75" t="s">
        <v>416</v>
      </c>
      <c r="W75">
        <f>Table1[[#This Row],[Capacity MW]]*140000</f>
        <v>28000000</v>
      </c>
      <c r="X75">
        <f>Table1[[#This Row],[Capacity MW]]*1000*1500*0.025</f>
        <v>7500000</v>
      </c>
      <c r="Y75">
        <f>Table1[[#This Row],[Capacity MW]]*1000*1500*0.025*0.496/1000</f>
        <v>3720</v>
      </c>
    </row>
    <row r="76" spans="1:25" ht="15.75" customHeight="1" x14ac:dyDescent="0.2">
      <c r="A76" s="1" t="s">
        <v>25</v>
      </c>
      <c r="B76" s="20" t="s">
        <v>306</v>
      </c>
      <c r="C76" s="12">
        <v>5</v>
      </c>
      <c r="D76" s="12">
        <v>0</v>
      </c>
      <c r="E76" s="12">
        <v>2</v>
      </c>
      <c r="F76" s="12" t="s">
        <v>27</v>
      </c>
      <c r="G76" s="12" t="s">
        <v>65</v>
      </c>
      <c r="H76" t="s">
        <v>52</v>
      </c>
      <c r="I76" t="s">
        <v>74</v>
      </c>
      <c r="J76" t="s">
        <v>235</v>
      </c>
      <c r="K76" t="s">
        <v>75</v>
      </c>
      <c r="L76" t="s">
        <v>76</v>
      </c>
      <c r="M76" t="s">
        <v>33</v>
      </c>
      <c r="N76" t="s">
        <v>77</v>
      </c>
      <c r="O76" t="s">
        <v>106</v>
      </c>
      <c r="P76" t="s">
        <v>255</v>
      </c>
      <c r="Q76" t="s">
        <v>97</v>
      </c>
      <c r="R76" t="s">
        <v>38</v>
      </c>
      <c r="S76" t="s">
        <v>307</v>
      </c>
      <c r="T76" t="s">
        <v>40</v>
      </c>
      <c r="U76" t="s">
        <v>416</v>
      </c>
      <c r="W76">
        <f>Table1[[#This Row],[Capacity MW]]*140000</f>
        <v>700000</v>
      </c>
      <c r="X76">
        <f>Table1[[#This Row],[Capacity MW]]*1000*1500*0.025</f>
        <v>187500</v>
      </c>
      <c r="Y76">
        <f>Table1[[#This Row],[Capacity MW]]*1000*1500*0.025*0.496/1000</f>
        <v>93</v>
      </c>
    </row>
    <row r="77" spans="1:25" ht="15.75" customHeight="1" x14ac:dyDescent="0.2">
      <c r="A77" s="1" t="s">
        <v>25</v>
      </c>
      <c r="B77" s="20" t="s">
        <v>308</v>
      </c>
      <c r="C77" s="12">
        <v>10</v>
      </c>
      <c r="D77" s="12">
        <v>0</v>
      </c>
      <c r="E77" s="12">
        <v>4</v>
      </c>
      <c r="F77" s="12" t="s">
        <v>27</v>
      </c>
      <c r="G77" s="12" t="s">
        <v>65</v>
      </c>
      <c r="H77" t="s">
        <v>95</v>
      </c>
      <c r="I77" t="s">
        <v>74</v>
      </c>
      <c r="J77" t="s">
        <v>47</v>
      </c>
      <c r="K77" t="s">
        <v>75</v>
      </c>
      <c r="L77" t="s">
        <v>76</v>
      </c>
      <c r="M77" t="s">
        <v>33</v>
      </c>
      <c r="N77" t="s">
        <v>77</v>
      </c>
      <c r="O77" t="s">
        <v>175</v>
      </c>
      <c r="P77" t="s">
        <v>255</v>
      </c>
      <c r="Q77" t="s">
        <v>97</v>
      </c>
      <c r="R77" t="s">
        <v>38</v>
      </c>
      <c r="S77" t="s">
        <v>309</v>
      </c>
      <c r="T77" t="s">
        <v>40</v>
      </c>
      <c r="U77" t="s">
        <v>416</v>
      </c>
      <c r="W77">
        <f>Table1[[#This Row],[Capacity MW]]*140000</f>
        <v>1400000</v>
      </c>
      <c r="X77">
        <f>Table1[[#This Row],[Capacity MW]]*1000*1500*0.025</f>
        <v>375000</v>
      </c>
      <c r="Y77">
        <f>Table1[[#This Row],[Capacity MW]]*1000*1500*0.025*0.496/1000</f>
        <v>186</v>
      </c>
    </row>
    <row r="78" spans="1:25" ht="15.75" customHeight="1" x14ac:dyDescent="0.2">
      <c r="A78" s="1" t="s">
        <v>25</v>
      </c>
      <c r="B78" s="20" t="s">
        <v>310</v>
      </c>
      <c r="C78" s="12">
        <v>5</v>
      </c>
      <c r="D78" s="12">
        <v>0</v>
      </c>
      <c r="E78" s="12">
        <v>2</v>
      </c>
      <c r="F78" s="12" t="s">
        <v>27</v>
      </c>
      <c r="G78" s="12" t="s">
        <v>65</v>
      </c>
      <c r="H78" t="s">
        <v>28</v>
      </c>
      <c r="I78" t="s">
        <v>74</v>
      </c>
      <c r="J78" t="s">
        <v>30</v>
      </c>
      <c r="K78" t="s">
        <v>75</v>
      </c>
      <c r="L78" t="s">
        <v>76</v>
      </c>
      <c r="M78" t="s">
        <v>33</v>
      </c>
      <c r="N78" t="s">
        <v>77</v>
      </c>
      <c r="O78" t="s">
        <v>106</v>
      </c>
      <c r="P78" t="s">
        <v>255</v>
      </c>
      <c r="Q78" t="s">
        <v>97</v>
      </c>
      <c r="R78" t="s">
        <v>38</v>
      </c>
      <c r="S78" t="s">
        <v>311</v>
      </c>
      <c r="T78" t="s">
        <v>40</v>
      </c>
      <c r="U78" t="s">
        <v>416</v>
      </c>
      <c r="W78">
        <f>Table1[[#This Row],[Capacity MW]]*140000</f>
        <v>700000</v>
      </c>
      <c r="X78">
        <f>Table1[[#This Row],[Capacity MW]]*1000*1500*0.025</f>
        <v>187500</v>
      </c>
      <c r="Y78">
        <f>Table1[[#This Row],[Capacity MW]]*1000*1500*0.025*0.496/1000</f>
        <v>93</v>
      </c>
    </row>
    <row r="79" spans="1:25" ht="15.75" customHeight="1" x14ac:dyDescent="0.2">
      <c r="A79" s="1" t="s">
        <v>25</v>
      </c>
      <c r="B79" s="20" t="s">
        <v>312</v>
      </c>
      <c r="C79" s="12">
        <v>5</v>
      </c>
      <c r="D79" s="12">
        <v>0</v>
      </c>
      <c r="E79" s="12">
        <v>2</v>
      </c>
      <c r="F79" s="12" t="s">
        <v>27</v>
      </c>
      <c r="G79" s="12" t="s">
        <v>65</v>
      </c>
      <c r="H79" t="s">
        <v>95</v>
      </c>
      <c r="I79" t="s">
        <v>74</v>
      </c>
      <c r="J79" t="s">
        <v>47</v>
      </c>
      <c r="K79" t="s">
        <v>75</v>
      </c>
      <c r="L79" t="s">
        <v>76</v>
      </c>
      <c r="M79" t="s">
        <v>33</v>
      </c>
      <c r="N79" t="s">
        <v>77</v>
      </c>
      <c r="O79" t="s">
        <v>106</v>
      </c>
      <c r="P79" t="s">
        <v>255</v>
      </c>
      <c r="Q79" t="s">
        <v>97</v>
      </c>
      <c r="R79" t="s">
        <v>38</v>
      </c>
      <c r="S79" t="s">
        <v>313</v>
      </c>
      <c r="T79" t="s">
        <v>40</v>
      </c>
      <c r="U79" t="s">
        <v>416</v>
      </c>
      <c r="W79">
        <f>Table1[[#This Row],[Capacity MW]]*140000</f>
        <v>700000</v>
      </c>
      <c r="X79">
        <f>Table1[[#This Row],[Capacity MW]]*1000*1500*0.025</f>
        <v>187500</v>
      </c>
      <c r="Y79">
        <f>Table1[[#This Row],[Capacity MW]]*1000*1500*0.025*0.496/1000</f>
        <v>93</v>
      </c>
    </row>
    <row r="80" spans="1:25" ht="15.75" customHeight="1" x14ac:dyDescent="0.2">
      <c r="A80" s="1" t="s">
        <v>25</v>
      </c>
      <c r="B80" s="20" t="s">
        <v>314</v>
      </c>
      <c r="C80" s="12">
        <v>9</v>
      </c>
      <c r="D80" s="12">
        <v>0</v>
      </c>
      <c r="E80" s="12">
        <v>4</v>
      </c>
      <c r="F80" s="12" t="s">
        <v>27</v>
      </c>
      <c r="G80" s="12" t="s">
        <v>65</v>
      </c>
      <c r="H80" t="s">
        <v>95</v>
      </c>
      <c r="I80" t="s">
        <v>74</v>
      </c>
      <c r="J80" t="s">
        <v>47</v>
      </c>
      <c r="K80" t="s">
        <v>75</v>
      </c>
      <c r="L80" t="s">
        <v>76</v>
      </c>
      <c r="M80" t="s">
        <v>33</v>
      </c>
      <c r="N80" t="s">
        <v>77</v>
      </c>
      <c r="O80" t="s">
        <v>315</v>
      </c>
      <c r="P80" t="s">
        <v>255</v>
      </c>
      <c r="Q80" t="s">
        <v>97</v>
      </c>
      <c r="R80" t="s">
        <v>38</v>
      </c>
      <c r="S80" t="s">
        <v>316</v>
      </c>
      <c r="T80" t="s">
        <v>40</v>
      </c>
      <c r="U80" t="s">
        <v>416</v>
      </c>
      <c r="W80">
        <f>Table1[[#This Row],[Capacity MW]]*140000</f>
        <v>1260000</v>
      </c>
      <c r="X80">
        <f>Table1[[#This Row],[Capacity MW]]*1000*1500*0.025</f>
        <v>337500</v>
      </c>
      <c r="Y80">
        <f>Table1[[#This Row],[Capacity MW]]*1000*1500*0.025*0.496/1000</f>
        <v>167.4</v>
      </c>
    </row>
    <row r="81" spans="1:25" ht="15.75" customHeight="1" x14ac:dyDescent="0.2">
      <c r="A81" s="1" t="s">
        <v>25</v>
      </c>
      <c r="B81" s="20" t="s">
        <v>317</v>
      </c>
      <c r="C81" s="12">
        <v>4</v>
      </c>
      <c r="D81" s="12">
        <v>0</v>
      </c>
      <c r="E81" s="12">
        <v>2</v>
      </c>
      <c r="F81" s="12" t="s">
        <v>27</v>
      </c>
      <c r="G81" s="12" t="s">
        <v>65</v>
      </c>
      <c r="H81" t="s">
        <v>95</v>
      </c>
      <c r="I81" t="s">
        <v>74</v>
      </c>
      <c r="J81" t="s">
        <v>47</v>
      </c>
      <c r="K81" t="s">
        <v>75</v>
      </c>
      <c r="L81" t="s">
        <v>76</v>
      </c>
      <c r="M81" t="s">
        <v>33</v>
      </c>
      <c r="N81" t="s">
        <v>77</v>
      </c>
      <c r="O81" t="s">
        <v>258</v>
      </c>
      <c r="P81" t="s">
        <v>255</v>
      </c>
      <c r="Q81" t="s">
        <v>97</v>
      </c>
      <c r="R81" t="s">
        <v>38</v>
      </c>
      <c r="S81" t="s">
        <v>318</v>
      </c>
      <c r="T81" t="s">
        <v>40</v>
      </c>
      <c r="U81" t="s">
        <v>416</v>
      </c>
      <c r="W81">
        <f>Table1[[#This Row],[Capacity MW]]*140000</f>
        <v>560000</v>
      </c>
      <c r="X81">
        <f>Table1[[#This Row],[Capacity MW]]*1000*1500*0.025</f>
        <v>150000</v>
      </c>
      <c r="Y81">
        <f>Table1[[#This Row],[Capacity MW]]*1000*1500*0.025*0.496/1000</f>
        <v>74.400000000000006</v>
      </c>
    </row>
    <row r="82" spans="1:25" ht="15.75" customHeight="1" x14ac:dyDescent="0.2">
      <c r="A82" s="1" t="s">
        <v>25</v>
      </c>
      <c r="B82" s="20" t="s">
        <v>319</v>
      </c>
      <c r="C82" s="12">
        <v>5</v>
      </c>
      <c r="D82" s="12">
        <v>0</v>
      </c>
      <c r="E82" s="12">
        <v>2</v>
      </c>
      <c r="F82" s="12" t="s">
        <v>27</v>
      </c>
      <c r="G82" s="12" t="s">
        <v>65</v>
      </c>
      <c r="H82" t="s">
        <v>95</v>
      </c>
      <c r="I82" t="s">
        <v>74</v>
      </c>
      <c r="J82" t="s">
        <v>47</v>
      </c>
      <c r="K82" t="s">
        <v>75</v>
      </c>
      <c r="L82" t="s">
        <v>76</v>
      </c>
      <c r="M82" t="s">
        <v>33</v>
      </c>
      <c r="N82" t="s">
        <v>77</v>
      </c>
      <c r="O82" t="s">
        <v>106</v>
      </c>
      <c r="P82" t="s">
        <v>255</v>
      </c>
      <c r="Q82" t="s">
        <v>97</v>
      </c>
      <c r="R82" t="s">
        <v>38</v>
      </c>
      <c r="S82" t="s">
        <v>320</v>
      </c>
      <c r="T82" t="s">
        <v>40</v>
      </c>
      <c r="U82" t="s">
        <v>416</v>
      </c>
      <c r="W82">
        <f>Table1[[#This Row],[Capacity MW]]*140000</f>
        <v>700000</v>
      </c>
      <c r="X82">
        <f>Table1[[#This Row],[Capacity MW]]*1000*1500*0.025</f>
        <v>187500</v>
      </c>
      <c r="Y82">
        <f>Table1[[#This Row],[Capacity MW]]*1000*1500*0.025*0.496/1000</f>
        <v>93</v>
      </c>
    </row>
    <row r="83" spans="1:25" ht="15.75" customHeight="1" x14ac:dyDescent="0.2">
      <c r="A83" s="1" t="s">
        <v>25</v>
      </c>
      <c r="B83" s="20" t="s">
        <v>321</v>
      </c>
      <c r="C83" s="12">
        <v>9</v>
      </c>
      <c r="D83" s="12">
        <v>0</v>
      </c>
      <c r="E83" s="12">
        <v>4</v>
      </c>
      <c r="F83" s="12" t="s">
        <v>27</v>
      </c>
      <c r="G83" s="12" t="s">
        <v>65</v>
      </c>
      <c r="H83" t="s">
        <v>95</v>
      </c>
      <c r="I83" t="s">
        <v>74</v>
      </c>
      <c r="J83" t="s">
        <v>47</v>
      </c>
      <c r="K83" t="s">
        <v>75</v>
      </c>
      <c r="L83" t="s">
        <v>76</v>
      </c>
      <c r="M83" t="s">
        <v>33</v>
      </c>
      <c r="N83" t="s">
        <v>77</v>
      </c>
      <c r="O83" t="s">
        <v>315</v>
      </c>
      <c r="P83" t="s">
        <v>255</v>
      </c>
      <c r="Q83" t="s">
        <v>97</v>
      </c>
      <c r="R83" t="s">
        <v>38</v>
      </c>
      <c r="S83" t="s">
        <v>322</v>
      </c>
      <c r="T83" t="s">
        <v>40</v>
      </c>
      <c r="U83" t="s">
        <v>416</v>
      </c>
      <c r="W83">
        <f>Table1[[#This Row],[Capacity MW]]*140000</f>
        <v>1260000</v>
      </c>
      <c r="X83">
        <f>Table1[[#This Row],[Capacity MW]]*1000*1500*0.025</f>
        <v>337500</v>
      </c>
      <c r="Y83">
        <f>Table1[[#This Row],[Capacity MW]]*1000*1500*0.025*0.496/1000</f>
        <v>167.4</v>
      </c>
    </row>
    <row r="84" spans="1:25" ht="15.75" customHeight="1" x14ac:dyDescent="0.2">
      <c r="A84" s="1" t="s">
        <v>25</v>
      </c>
      <c r="B84" s="20" t="s">
        <v>314</v>
      </c>
      <c r="C84" s="12">
        <v>5</v>
      </c>
      <c r="D84" s="12">
        <v>0</v>
      </c>
      <c r="E84" s="12">
        <v>2</v>
      </c>
      <c r="F84" s="12" t="s">
        <v>27</v>
      </c>
      <c r="G84" s="12" t="s">
        <v>65</v>
      </c>
      <c r="H84" t="s">
        <v>95</v>
      </c>
      <c r="I84" t="s">
        <v>74</v>
      </c>
      <c r="J84" t="s">
        <v>47</v>
      </c>
      <c r="K84" t="s">
        <v>75</v>
      </c>
      <c r="L84" t="s">
        <v>76</v>
      </c>
      <c r="M84" t="s">
        <v>33</v>
      </c>
      <c r="N84" t="s">
        <v>77</v>
      </c>
      <c r="O84" t="s">
        <v>106</v>
      </c>
      <c r="P84" t="s">
        <v>255</v>
      </c>
      <c r="Q84" t="s">
        <v>97</v>
      </c>
      <c r="R84" t="s">
        <v>38</v>
      </c>
      <c r="S84" t="s">
        <v>316</v>
      </c>
      <c r="T84" t="s">
        <v>40</v>
      </c>
      <c r="U84" t="s">
        <v>416</v>
      </c>
      <c r="W84">
        <f>Table1[[#This Row],[Capacity MW]]*140000</f>
        <v>700000</v>
      </c>
      <c r="X84">
        <f>Table1[[#This Row],[Capacity MW]]*1000*1500*0.025</f>
        <v>187500</v>
      </c>
      <c r="Y84">
        <f>Table1[[#This Row],[Capacity MW]]*1000*1500*0.025*0.496/1000</f>
        <v>93</v>
      </c>
    </row>
    <row r="85" spans="1:25" ht="15.75" customHeight="1" x14ac:dyDescent="0.2">
      <c r="A85" s="1" t="s">
        <v>25</v>
      </c>
      <c r="B85" s="20" t="s">
        <v>323</v>
      </c>
      <c r="C85" s="12">
        <v>9</v>
      </c>
      <c r="D85" s="12">
        <v>0</v>
      </c>
      <c r="E85" s="12">
        <v>4</v>
      </c>
      <c r="F85" s="12" t="s">
        <v>27</v>
      </c>
      <c r="G85" s="12" t="s">
        <v>65</v>
      </c>
      <c r="H85" t="s">
        <v>95</v>
      </c>
      <c r="I85" t="s">
        <v>74</v>
      </c>
      <c r="J85" t="s">
        <v>47</v>
      </c>
      <c r="K85" t="s">
        <v>75</v>
      </c>
      <c r="L85" t="s">
        <v>76</v>
      </c>
      <c r="M85" t="s">
        <v>33</v>
      </c>
      <c r="N85" t="s">
        <v>77</v>
      </c>
      <c r="O85" t="s">
        <v>315</v>
      </c>
      <c r="P85" t="s">
        <v>255</v>
      </c>
      <c r="Q85" t="s">
        <v>97</v>
      </c>
      <c r="R85" t="s">
        <v>38</v>
      </c>
      <c r="S85" t="s">
        <v>324</v>
      </c>
      <c r="T85" t="s">
        <v>40</v>
      </c>
      <c r="U85" t="s">
        <v>416</v>
      </c>
      <c r="W85">
        <f>Table1[[#This Row],[Capacity MW]]*140000</f>
        <v>1260000</v>
      </c>
      <c r="X85">
        <f>Table1[[#This Row],[Capacity MW]]*1000*1500*0.025</f>
        <v>337500</v>
      </c>
      <c r="Y85">
        <f>Table1[[#This Row],[Capacity MW]]*1000*1500*0.025*0.496/1000</f>
        <v>167.4</v>
      </c>
    </row>
    <row r="86" spans="1:25" ht="15.75" customHeight="1" x14ac:dyDescent="0.2">
      <c r="A86" s="1" t="s">
        <v>25</v>
      </c>
      <c r="B86" s="20" t="s">
        <v>325</v>
      </c>
      <c r="C86" s="12">
        <v>5</v>
      </c>
      <c r="D86" s="12">
        <v>0</v>
      </c>
      <c r="E86" s="12">
        <v>2</v>
      </c>
      <c r="F86" s="12" t="s">
        <v>27</v>
      </c>
      <c r="G86" s="12" t="s">
        <v>65</v>
      </c>
      <c r="H86" t="s">
        <v>95</v>
      </c>
      <c r="I86" t="s">
        <v>74</v>
      </c>
      <c r="J86" t="s">
        <v>47</v>
      </c>
      <c r="K86" t="s">
        <v>75</v>
      </c>
      <c r="L86" t="s">
        <v>76</v>
      </c>
      <c r="M86" t="s">
        <v>33</v>
      </c>
      <c r="N86" t="s">
        <v>77</v>
      </c>
      <c r="O86" t="s">
        <v>106</v>
      </c>
      <c r="P86" t="s">
        <v>255</v>
      </c>
      <c r="Q86" t="s">
        <v>97</v>
      </c>
      <c r="R86" t="s">
        <v>38</v>
      </c>
      <c r="S86" t="s">
        <v>326</v>
      </c>
      <c r="T86" t="s">
        <v>40</v>
      </c>
      <c r="U86" t="s">
        <v>416</v>
      </c>
      <c r="W86">
        <f>Table1[[#This Row],[Capacity MW]]*140000</f>
        <v>700000</v>
      </c>
      <c r="X86">
        <f>Table1[[#This Row],[Capacity MW]]*1000*1500*0.025</f>
        <v>187500</v>
      </c>
      <c r="Y86">
        <f>Table1[[#This Row],[Capacity MW]]*1000*1500*0.025*0.496/1000</f>
        <v>93</v>
      </c>
    </row>
    <row r="87" spans="1:25" ht="15.75" customHeight="1" x14ac:dyDescent="0.2">
      <c r="A87" s="1" t="s">
        <v>25</v>
      </c>
      <c r="B87" s="12" t="s">
        <v>327</v>
      </c>
      <c r="C87" s="12">
        <v>6</v>
      </c>
      <c r="D87" s="12">
        <v>0</v>
      </c>
      <c r="E87" s="12">
        <v>3</v>
      </c>
      <c r="F87" s="12" t="s">
        <v>27</v>
      </c>
      <c r="G87" s="12" t="s">
        <v>65</v>
      </c>
      <c r="H87" t="s">
        <v>95</v>
      </c>
      <c r="I87" t="s">
        <v>74</v>
      </c>
      <c r="J87" t="s">
        <v>47</v>
      </c>
      <c r="K87" t="s">
        <v>75</v>
      </c>
      <c r="L87" t="s">
        <v>76</v>
      </c>
      <c r="M87" t="s">
        <v>33</v>
      </c>
      <c r="N87" t="s">
        <v>77</v>
      </c>
      <c r="O87" t="s">
        <v>264</v>
      </c>
      <c r="P87" t="s">
        <v>255</v>
      </c>
      <c r="Q87" t="s">
        <v>97</v>
      </c>
      <c r="R87" t="s">
        <v>38</v>
      </c>
      <c r="S87" t="s">
        <v>328</v>
      </c>
      <c r="T87" t="s">
        <v>40</v>
      </c>
      <c r="U87" t="s">
        <v>416</v>
      </c>
      <c r="W87">
        <f>Table1[[#This Row],[Capacity MW]]*140000</f>
        <v>840000</v>
      </c>
      <c r="X87">
        <f>Table1[[#This Row],[Capacity MW]]*1000*1500*0.025</f>
        <v>225000</v>
      </c>
      <c r="Y87">
        <f>Table1[[#This Row],[Capacity MW]]*1000*1500*0.025*0.496/1000</f>
        <v>111.6</v>
      </c>
    </row>
    <row r="88" spans="1:25" ht="15.75" customHeight="1" x14ac:dyDescent="0.2">
      <c r="A88" s="1" t="s">
        <v>25</v>
      </c>
      <c r="B88" s="12" t="s">
        <v>329</v>
      </c>
      <c r="C88" s="12">
        <v>5</v>
      </c>
      <c r="D88" s="12">
        <v>0</v>
      </c>
      <c r="E88" s="12">
        <v>2</v>
      </c>
      <c r="F88" s="12" t="s">
        <v>27</v>
      </c>
      <c r="G88" s="12" t="s">
        <v>65</v>
      </c>
      <c r="H88" t="s">
        <v>95</v>
      </c>
      <c r="I88" t="s">
        <v>74</v>
      </c>
      <c r="J88" t="s">
        <v>47</v>
      </c>
      <c r="K88" t="s">
        <v>75</v>
      </c>
      <c r="L88" t="s">
        <v>76</v>
      </c>
      <c r="M88" t="s">
        <v>33</v>
      </c>
      <c r="N88" t="s">
        <v>77</v>
      </c>
      <c r="O88" t="s">
        <v>106</v>
      </c>
      <c r="P88" t="s">
        <v>255</v>
      </c>
      <c r="Q88" t="s">
        <v>97</v>
      </c>
      <c r="R88" t="s">
        <v>38</v>
      </c>
      <c r="S88" t="s">
        <v>330</v>
      </c>
      <c r="T88" t="s">
        <v>40</v>
      </c>
      <c r="U88" t="s">
        <v>416</v>
      </c>
      <c r="W88">
        <f>Table1[[#This Row],[Capacity MW]]*140000</f>
        <v>700000</v>
      </c>
      <c r="X88">
        <f>Table1[[#This Row],[Capacity MW]]*1000*1500*0.025</f>
        <v>187500</v>
      </c>
      <c r="Y88">
        <f>Table1[[#This Row],[Capacity MW]]*1000*1500*0.025*0.496/1000</f>
        <v>93</v>
      </c>
    </row>
    <row r="89" spans="1:25" ht="15.75" customHeight="1" x14ac:dyDescent="0.2">
      <c r="A89" s="1" t="s">
        <v>25</v>
      </c>
      <c r="B89" s="12" t="s">
        <v>331</v>
      </c>
      <c r="C89" s="12">
        <v>5</v>
      </c>
      <c r="D89" s="12">
        <v>0</v>
      </c>
      <c r="E89" s="12">
        <v>2</v>
      </c>
      <c r="F89" s="12" t="s">
        <v>27</v>
      </c>
      <c r="G89" s="12" t="s">
        <v>65</v>
      </c>
      <c r="H89" t="s">
        <v>95</v>
      </c>
      <c r="I89" t="s">
        <v>74</v>
      </c>
      <c r="J89" t="s">
        <v>47</v>
      </c>
      <c r="K89" t="s">
        <v>75</v>
      </c>
      <c r="L89" t="s">
        <v>76</v>
      </c>
      <c r="M89" t="s">
        <v>33</v>
      </c>
      <c r="N89" t="s">
        <v>77</v>
      </c>
      <c r="O89" t="s">
        <v>106</v>
      </c>
      <c r="P89" t="s">
        <v>255</v>
      </c>
      <c r="Q89" t="s">
        <v>97</v>
      </c>
      <c r="R89" t="s">
        <v>38</v>
      </c>
      <c r="S89" t="s">
        <v>332</v>
      </c>
      <c r="T89" t="s">
        <v>40</v>
      </c>
      <c r="U89" t="s">
        <v>416</v>
      </c>
      <c r="W89">
        <f>Table1[[#This Row],[Capacity MW]]*140000</f>
        <v>700000</v>
      </c>
      <c r="X89">
        <f>Table1[[#This Row],[Capacity MW]]*1000*1500*0.025</f>
        <v>187500</v>
      </c>
      <c r="Y89">
        <f>Table1[[#This Row],[Capacity MW]]*1000*1500*0.025*0.496/1000</f>
        <v>93</v>
      </c>
    </row>
    <row r="90" spans="1:25" ht="15.75" customHeight="1" x14ac:dyDescent="0.2">
      <c r="A90" s="1" t="s">
        <v>25</v>
      </c>
      <c r="B90" s="12" t="s">
        <v>333</v>
      </c>
      <c r="C90" s="12">
        <v>5</v>
      </c>
      <c r="D90" s="12">
        <v>0</v>
      </c>
      <c r="E90" s="12">
        <v>2</v>
      </c>
      <c r="F90" s="12" t="s">
        <v>27</v>
      </c>
      <c r="G90" s="12" t="s">
        <v>65</v>
      </c>
      <c r="H90" t="s">
        <v>95</v>
      </c>
      <c r="I90" t="s">
        <v>74</v>
      </c>
      <c r="J90" t="s">
        <v>47</v>
      </c>
      <c r="K90" t="s">
        <v>75</v>
      </c>
      <c r="L90" t="s">
        <v>76</v>
      </c>
      <c r="M90" t="s">
        <v>33</v>
      </c>
      <c r="N90" t="s">
        <v>77</v>
      </c>
      <c r="O90" t="s">
        <v>106</v>
      </c>
      <c r="P90" t="s">
        <v>255</v>
      </c>
      <c r="Q90" t="s">
        <v>97</v>
      </c>
      <c r="R90" t="s">
        <v>38</v>
      </c>
      <c r="S90" t="s">
        <v>334</v>
      </c>
      <c r="T90" t="s">
        <v>40</v>
      </c>
      <c r="U90" t="s">
        <v>416</v>
      </c>
      <c r="W90">
        <f>Table1[[#This Row],[Capacity MW]]*140000</f>
        <v>700000</v>
      </c>
      <c r="X90">
        <f>Table1[[#This Row],[Capacity MW]]*1000*1500*0.025</f>
        <v>187500</v>
      </c>
      <c r="Y90">
        <f>Table1[[#This Row],[Capacity MW]]*1000*1500*0.025*0.496/1000</f>
        <v>93</v>
      </c>
    </row>
    <row r="91" spans="1:25" ht="15.75" customHeight="1" x14ac:dyDescent="0.2">
      <c r="A91" s="1" t="s">
        <v>25</v>
      </c>
      <c r="B91" s="12" t="s">
        <v>335</v>
      </c>
      <c r="C91" s="12">
        <v>10</v>
      </c>
      <c r="D91" s="12">
        <v>0</v>
      </c>
      <c r="E91" s="12">
        <v>4</v>
      </c>
      <c r="F91" s="12" t="s">
        <v>27</v>
      </c>
      <c r="G91" s="12" t="s">
        <v>65</v>
      </c>
      <c r="H91" t="s">
        <v>52</v>
      </c>
      <c r="I91" t="s">
        <v>74</v>
      </c>
      <c r="J91" t="s">
        <v>235</v>
      </c>
      <c r="K91" t="s">
        <v>75</v>
      </c>
      <c r="L91" t="s">
        <v>76</v>
      </c>
      <c r="M91" t="s">
        <v>33</v>
      </c>
      <c r="N91" t="s">
        <v>77</v>
      </c>
      <c r="O91" t="s">
        <v>175</v>
      </c>
      <c r="P91" t="s">
        <v>255</v>
      </c>
      <c r="Q91" t="s">
        <v>97</v>
      </c>
      <c r="R91" t="s">
        <v>38</v>
      </c>
      <c r="S91" t="s">
        <v>336</v>
      </c>
      <c r="T91" t="s">
        <v>40</v>
      </c>
      <c r="U91" t="s">
        <v>416</v>
      </c>
      <c r="W91">
        <f>Table1[[#This Row],[Capacity MW]]*140000</f>
        <v>1400000</v>
      </c>
      <c r="X91">
        <f>Table1[[#This Row],[Capacity MW]]*1000*1500*0.025</f>
        <v>375000</v>
      </c>
      <c r="Y91">
        <f>Table1[[#This Row],[Capacity MW]]*1000*1500*0.025*0.496/1000</f>
        <v>186</v>
      </c>
    </row>
    <row r="92" spans="1:25" ht="15.75" customHeight="1" x14ac:dyDescent="0.2">
      <c r="A92" s="1" t="s">
        <v>25</v>
      </c>
      <c r="B92" s="12" t="s">
        <v>337</v>
      </c>
      <c r="C92" s="12">
        <v>7</v>
      </c>
      <c r="D92" s="12">
        <v>0</v>
      </c>
      <c r="E92" s="12">
        <v>3</v>
      </c>
      <c r="F92" s="12" t="s">
        <v>27</v>
      </c>
      <c r="G92" s="12" t="s">
        <v>65</v>
      </c>
      <c r="H92" t="s">
        <v>52</v>
      </c>
      <c r="I92" t="s">
        <v>74</v>
      </c>
      <c r="J92" t="s">
        <v>235</v>
      </c>
      <c r="K92" t="s">
        <v>75</v>
      </c>
      <c r="L92" t="s">
        <v>76</v>
      </c>
      <c r="M92" t="s">
        <v>33</v>
      </c>
      <c r="N92" t="s">
        <v>77</v>
      </c>
      <c r="O92" t="s">
        <v>273</v>
      </c>
      <c r="P92" t="s">
        <v>255</v>
      </c>
      <c r="Q92" t="s">
        <v>97</v>
      </c>
      <c r="R92" t="s">
        <v>38</v>
      </c>
      <c r="S92" t="s">
        <v>338</v>
      </c>
      <c r="T92" t="s">
        <v>40</v>
      </c>
      <c r="U92" t="s">
        <v>416</v>
      </c>
      <c r="W92">
        <f>Table1[[#This Row],[Capacity MW]]*140000</f>
        <v>980000</v>
      </c>
      <c r="X92">
        <f>Table1[[#This Row],[Capacity MW]]*1000*1500*0.025</f>
        <v>262500</v>
      </c>
      <c r="Y92">
        <f>Table1[[#This Row],[Capacity MW]]*1000*1500*0.025*0.496/1000</f>
        <v>130.19999999999999</v>
      </c>
    </row>
    <row r="93" spans="1:25" ht="15.75" customHeight="1" x14ac:dyDescent="0.2">
      <c r="A93" s="1" t="s">
        <v>25</v>
      </c>
      <c r="B93" s="12" t="s">
        <v>339</v>
      </c>
      <c r="C93" s="12">
        <v>6</v>
      </c>
      <c r="D93" s="12">
        <v>0</v>
      </c>
      <c r="E93" s="12">
        <v>3</v>
      </c>
      <c r="F93" s="12" t="s">
        <v>27</v>
      </c>
      <c r="G93" s="12" t="s">
        <v>65</v>
      </c>
      <c r="H93" t="s">
        <v>52</v>
      </c>
      <c r="I93" t="s">
        <v>74</v>
      </c>
      <c r="J93" t="s">
        <v>235</v>
      </c>
      <c r="K93" t="s">
        <v>75</v>
      </c>
      <c r="L93" t="s">
        <v>76</v>
      </c>
      <c r="M93" t="s">
        <v>33</v>
      </c>
      <c r="N93" t="s">
        <v>77</v>
      </c>
      <c r="O93" t="s">
        <v>264</v>
      </c>
      <c r="P93" t="s">
        <v>255</v>
      </c>
      <c r="Q93" t="s">
        <v>97</v>
      </c>
      <c r="R93" t="s">
        <v>38</v>
      </c>
      <c r="S93" t="s">
        <v>340</v>
      </c>
      <c r="T93" t="s">
        <v>40</v>
      </c>
      <c r="U93" t="s">
        <v>416</v>
      </c>
      <c r="W93">
        <f>Table1[[#This Row],[Capacity MW]]*140000</f>
        <v>840000</v>
      </c>
      <c r="X93">
        <f>Table1[[#This Row],[Capacity MW]]*1000*1500*0.025</f>
        <v>225000</v>
      </c>
      <c r="Y93">
        <f>Table1[[#This Row],[Capacity MW]]*1000*1500*0.025*0.496/1000</f>
        <v>111.6</v>
      </c>
    </row>
    <row r="94" spans="1:25" ht="15.75" customHeight="1" x14ac:dyDescent="0.2">
      <c r="A94" s="1" t="s">
        <v>25</v>
      </c>
      <c r="B94" s="12" t="s">
        <v>341</v>
      </c>
      <c r="C94" s="12">
        <v>8</v>
      </c>
      <c r="D94" s="12">
        <v>0</v>
      </c>
      <c r="E94" s="12">
        <v>3</v>
      </c>
      <c r="F94" s="12" t="s">
        <v>27</v>
      </c>
      <c r="G94" s="12" t="s">
        <v>65</v>
      </c>
      <c r="H94" t="s">
        <v>52</v>
      </c>
      <c r="I94" t="s">
        <v>74</v>
      </c>
      <c r="J94" t="s">
        <v>235</v>
      </c>
      <c r="K94" t="s">
        <v>75</v>
      </c>
      <c r="L94" t="s">
        <v>76</v>
      </c>
      <c r="M94" t="s">
        <v>33</v>
      </c>
      <c r="N94" t="s">
        <v>77</v>
      </c>
      <c r="O94" t="s">
        <v>342</v>
      </c>
      <c r="P94" t="s">
        <v>255</v>
      </c>
      <c r="Q94" t="s">
        <v>97</v>
      </c>
      <c r="R94" t="s">
        <v>38</v>
      </c>
      <c r="S94" t="s">
        <v>343</v>
      </c>
      <c r="T94" t="s">
        <v>40</v>
      </c>
      <c r="U94" t="s">
        <v>416</v>
      </c>
      <c r="W94">
        <f>Table1[[#This Row],[Capacity MW]]*140000</f>
        <v>1120000</v>
      </c>
      <c r="X94">
        <f>Table1[[#This Row],[Capacity MW]]*1000*1500*0.025</f>
        <v>300000</v>
      </c>
      <c r="Y94">
        <f>Table1[[#This Row],[Capacity MW]]*1000*1500*0.025*0.496/1000</f>
        <v>148.80000000000001</v>
      </c>
    </row>
    <row r="95" spans="1:25" ht="15.75" customHeight="1" x14ac:dyDescent="0.2">
      <c r="A95" s="1" t="s">
        <v>25</v>
      </c>
      <c r="B95" s="12" t="s">
        <v>344</v>
      </c>
      <c r="C95" s="12">
        <v>9</v>
      </c>
      <c r="D95" s="12">
        <v>0</v>
      </c>
      <c r="E95" s="12">
        <v>4</v>
      </c>
      <c r="F95" s="12" t="s">
        <v>27</v>
      </c>
      <c r="G95" s="12" t="s">
        <v>65</v>
      </c>
      <c r="H95" t="s">
        <v>52</v>
      </c>
      <c r="I95" t="s">
        <v>74</v>
      </c>
      <c r="J95" t="s">
        <v>235</v>
      </c>
      <c r="K95" t="s">
        <v>75</v>
      </c>
      <c r="L95" t="s">
        <v>76</v>
      </c>
      <c r="M95" t="s">
        <v>33</v>
      </c>
      <c r="N95" t="s">
        <v>77</v>
      </c>
      <c r="O95" t="s">
        <v>315</v>
      </c>
      <c r="P95" t="s">
        <v>255</v>
      </c>
      <c r="Q95" t="s">
        <v>97</v>
      </c>
      <c r="R95" t="s">
        <v>38</v>
      </c>
      <c r="S95" t="s">
        <v>345</v>
      </c>
      <c r="T95" t="s">
        <v>40</v>
      </c>
      <c r="U95" t="s">
        <v>416</v>
      </c>
      <c r="W95">
        <f>Table1[[#This Row],[Capacity MW]]*140000</f>
        <v>1260000</v>
      </c>
      <c r="X95">
        <f>Table1[[#This Row],[Capacity MW]]*1000*1500*0.025</f>
        <v>337500</v>
      </c>
      <c r="Y95">
        <f>Table1[[#This Row],[Capacity MW]]*1000*1500*0.025*0.496/1000</f>
        <v>167.4</v>
      </c>
    </row>
    <row r="96" spans="1:25" ht="15.75" customHeight="1" x14ac:dyDescent="0.2">
      <c r="A96" s="1" t="s">
        <v>25</v>
      </c>
      <c r="B96" s="23" t="s">
        <v>346</v>
      </c>
      <c r="C96" s="12">
        <v>7</v>
      </c>
      <c r="D96" s="12">
        <v>0</v>
      </c>
      <c r="E96" s="12">
        <v>3</v>
      </c>
      <c r="F96" s="12" t="s">
        <v>27</v>
      </c>
      <c r="G96" s="12" t="s">
        <v>65</v>
      </c>
      <c r="H96" t="s">
        <v>52</v>
      </c>
      <c r="I96" t="s">
        <v>74</v>
      </c>
      <c r="J96" t="s">
        <v>235</v>
      </c>
      <c r="K96" t="s">
        <v>75</v>
      </c>
      <c r="L96" t="s">
        <v>76</v>
      </c>
      <c r="M96" t="s">
        <v>33</v>
      </c>
      <c r="N96" t="s">
        <v>77</v>
      </c>
      <c r="O96" t="s">
        <v>273</v>
      </c>
      <c r="P96" t="s">
        <v>255</v>
      </c>
      <c r="Q96" t="s">
        <v>97</v>
      </c>
      <c r="R96" t="s">
        <v>38</v>
      </c>
      <c r="S96" t="s">
        <v>347</v>
      </c>
      <c r="T96" t="s">
        <v>40</v>
      </c>
      <c r="U96" t="s">
        <v>416</v>
      </c>
      <c r="W96">
        <f>Table1[[#This Row],[Capacity MW]]*140000</f>
        <v>980000</v>
      </c>
      <c r="X96">
        <f>Table1[[#This Row],[Capacity MW]]*1000*1500*0.025</f>
        <v>262500</v>
      </c>
      <c r="Y96">
        <f>Table1[[#This Row],[Capacity MW]]*1000*1500*0.025*0.496/1000</f>
        <v>130.19999999999999</v>
      </c>
    </row>
    <row r="97" spans="1:25" ht="15.75" customHeight="1" x14ac:dyDescent="0.2">
      <c r="A97" s="1" t="s">
        <v>25</v>
      </c>
      <c r="B97" s="12" t="s">
        <v>348</v>
      </c>
      <c r="C97" s="12">
        <v>8</v>
      </c>
      <c r="D97" s="12">
        <v>0</v>
      </c>
      <c r="E97" s="12">
        <v>3</v>
      </c>
      <c r="F97" s="12" t="s">
        <v>27</v>
      </c>
      <c r="G97" s="12" t="s">
        <v>65</v>
      </c>
      <c r="H97" t="s">
        <v>52</v>
      </c>
      <c r="I97" t="s">
        <v>74</v>
      </c>
      <c r="J97" t="s">
        <v>47</v>
      </c>
      <c r="K97" t="s">
        <v>75</v>
      </c>
      <c r="L97" t="s">
        <v>76</v>
      </c>
      <c r="M97" t="s">
        <v>33</v>
      </c>
      <c r="N97" t="s">
        <v>77</v>
      </c>
      <c r="O97" t="s">
        <v>342</v>
      </c>
      <c r="P97" t="s">
        <v>255</v>
      </c>
      <c r="Q97" t="s">
        <v>97</v>
      </c>
      <c r="R97" t="s">
        <v>38</v>
      </c>
      <c r="S97" t="s">
        <v>349</v>
      </c>
      <c r="T97" t="s">
        <v>40</v>
      </c>
      <c r="U97" t="s">
        <v>416</v>
      </c>
      <c r="W97">
        <f>Table1[[#This Row],[Capacity MW]]*140000</f>
        <v>1120000</v>
      </c>
      <c r="X97">
        <f>Table1[[#This Row],[Capacity MW]]*1000*1500*0.025</f>
        <v>300000</v>
      </c>
      <c r="Y97">
        <f>Table1[[#This Row],[Capacity MW]]*1000*1500*0.025*0.496/1000</f>
        <v>148.80000000000001</v>
      </c>
    </row>
    <row r="98" spans="1:25" ht="15.75" customHeight="1" x14ac:dyDescent="0.2">
      <c r="A98" s="1" t="s">
        <v>25</v>
      </c>
      <c r="B98" s="12" t="s">
        <v>350</v>
      </c>
      <c r="C98" s="12">
        <v>6</v>
      </c>
      <c r="D98" s="12">
        <v>0</v>
      </c>
      <c r="E98" s="12">
        <v>3</v>
      </c>
      <c r="F98" s="12" t="s">
        <v>27</v>
      </c>
      <c r="G98" s="12" t="s">
        <v>65</v>
      </c>
      <c r="H98" t="s">
        <v>52</v>
      </c>
      <c r="I98" t="s">
        <v>74</v>
      </c>
      <c r="J98" t="s">
        <v>47</v>
      </c>
      <c r="K98" t="s">
        <v>75</v>
      </c>
      <c r="L98" t="s">
        <v>76</v>
      </c>
      <c r="M98" t="s">
        <v>33</v>
      </c>
      <c r="N98" t="s">
        <v>77</v>
      </c>
      <c r="O98" t="s">
        <v>264</v>
      </c>
      <c r="P98" t="s">
        <v>255</v>
      </c>
      <c r="Q98" t="s">
        <v>97</v>
      </c>
      <c r="R98" t="s">
        <v>38</v>
      </c>
      <c r="S98" t="s">
        <v>351</v>
      </c>
      <c r="T98" t="s">
        <v>40</v>
      </c>
      <c r="U98" t="s">
        <v>416</v>
      </c>
      <c r="W98">
        <f>Table1[[#This Row],[Capacity MW]]*140000</f>
        <v>840000</v>
      </c>
      <c r="X98">
        <f>Table1[[#This Row],[Capacity MW]]*1000*1500*0.025</f>
        <v>225000</v>
      </c>
      <c r="Y98">
        <f>Table1[[#This Row],[Capacity MW]]*1000*1500*0.025*0.496/1000</f>
        <v>111.6</v>
      </c>
    </row>
    <row r="99" spans="1:25" ht="15.75" customHeight="1" x14ac:dyDescent="0.2">
      <c r="A99" s="1" t="s">
        <v>25</v>
      </c>
      <c r="B99" s="12" t="s">
        <v>352</v>
      </c>
      <c r="C99" s="12">
        <v>7</v>
      </c>
      <c r="D99" s="12">
        <v>0</v>
      </c>
      <c r="E99" s="12">
        <v>3</v>
      </c>
      <c r="F99" s="12" t="s">
        <v>27</v>
      </c>
      <c r="G99" s="12" t="s">
        <v>65</v>
      </c>
      <c r="H99" t="s">
        <v>52</v>
      </c>
      <c r="I99" t="s">
        <v>74</v>
      </c>
      <c r="J99" t="s">
        <v>235</v>
      </c>
      <c r="K99" t="s">
        <v>75</v>
      </c>
      <c r="L99" t="s">
        <v>76</v>
      </c>
      <c r="M99" t="s">
        <v>33</v>
      </c>
      <c r="N99" t="s">
        <v>77</v>
      </c>
      <c r="O99" t="s">
        <v>273</v>
      </c>
      <c r="P99" t="s">
        <v>255</v>
      </c>
      <c r="Q99" t="s">
        <v>97</v>
      </c>
      <c r="R99" t="s">
        <v>38</v>
      </c>
      <c r="S99" t="s">
        <v>353</v>
      </c>
      <c r="T99" t="s">
        <v>40</v>
      </c>
      <c r="U99" t="s">
        <v>416</v>
      </c>
      <c r="W99">
        <f>Table1[[#This Row],[Capacity MW]]*140000</f>
        <v>980000</v>
      </c>
      <c r="X99">
        <f>Table1[[#This Row],[Capacity MW]]*1000*1500*0.025</f>
        <v>262500</v>
      </c>
      <c r="Y99">
        <f>Table1[[#This Row],[Capacity MW]]*1000*1500*0.025*0.496/1000</f>
        <v>130.19999999999999</v>
      </c>
    </row>
    <row r="100" spans="1:25" ht="15.75" customHeight="1" x14ac:dyDescent="0.2">
      <c r="A100" s="1" t="s">
        <v>25</v>
      </c>
      <c r="B100" s="12" t="s">
        <v>354</v>
      </c>
      <c r="C100" s="12">
        <v>8</v>
      </c>
      <c r="D100" s="12">
        <v>0</v>
      </c>
      <c r="E100" s="12">
        <v>3</v>
      </c>
      <c r="F100" s="12" t="s">
        <v>27</v>
      </c>
      <c r="G100" s="12" t="s">
        <v>65</v>
      </c>
      <c r="H100" t="s">
        <v>52</v>
      </c>
      <c r="I100" t="s">
        <v>74</v>
      </c>
      <c r="J100" t="s">
        <v>235</v>
      </c>
      <c r="K100" t="s">
        <v>75</v>
      </c>
      <c r="L100" t="s">
        <v>76</v>
      </c>
      <c r="M100" t="s">
        <v>33</v>
      </c>
      <c r="N100" t="s">
        <v>77</v>
      </c>
      <c r="O100" t="s">
        <v>342</v>
      </c>
      <c r="P100" t="s">
        <v>255</v>
      </c>
      <c r="Q100" t="s">
        <v>97</v>
      </c>
      <c r="R100" t="s">
        <v>38</v>
      </c>
      <c r="S100" t="s">
        <v>355</v>
      </c>
      <c r="T100" t="s">
        <v>40</v>
      </c>
      <c r="U100" t="s">
        <v>416</v>
      </c>
      <c r="W100">
        <f>Table1[[#This Row],[Capacity MW]]*140000</f>
        <v>1120000</v>
      </c>
      <c r="X100">
        <f>Table1[[#This Row],[Capacity MW]]*1000*1500*0.025</f>
        <v>300000</v>
      </c>
      <c r="Y100">
        <f>Table1[[#This Row],[Capacity MW]]*1000*1500*0.025*0.496/1000</f>
        <v>148.80000000000001</v>
      </c>
    </row>
    <row r="101" spans="1:25" ht="15.75" customHeight="1" x14ac:dyDescent="0.2">
      <c r="A101" s="1" t="s">
        <v>25</v>
      </c>
      <c r="B101" s="12" t="s">
        <v>356</v>
      </c>
      <c r="C101" s="12">
        <v>7</v>
      </c>
      <c r="D101" s="12">
        <v>0</v>
      </c>
      <c r="E101" s="12">
        <v>3</v>
      </c>
      <c r="F101" s="12" t="s">
        <v>27</v>
      </c>
      <c r="G101" s="12" t="s">
        <v>65</v>
      </c>
      <c r="H101" t="s">
        <v>28</v>
      </c>
      <c r="I101" t="s">
        <v>74</v>
      </c>
      <c r="J101" t="s">
        <v>30</v>
      </c>
      <c r="K101" t="s">
        <v>75</v>
      </c>
      <c r="L101" t="s">
        <v>76</v>
      </c>
      <c r="M101" t="s">
        <v>33</v>
      </c>
      <c r="N101" t="s">
        <v>77</v>
      </c>
      <c r="O101" t="s">
        <v>273</v>
      </c>
      <c r="P101" t="s">
        <v>255</v>
      </c>
      <c r="Q101" t="s">
        <v>97</v>
      </c>
      <c r="R101" t="s">
        <v>38</v>
      </c>
      <c r="S101" t="s">
        <v>357</v>
      </c>
      <c r="T101" t="s">
        <v>40</v>
      </c>
      <c r="U101" t="s">
        <v>416</v>
      </c>
      <c r="W101">
        <f>Table1[[#This Row],[Capacity MW]]*140000</f>
        <v>980000</v>
      </c>
      <c r="X101">
        <f>Table1[[#This Row],[Capacity MW]]*1000*1500*0.025</f>
        <v>262500</v>
      </c>
      <c r="Y101">
        <f>Table1[[#This Row],[Capacity MW]]*1000*1500*0.025*0.496/1000</f>
        <v>130.19999999999999</v>
      </c>
    </row>
    <row r="102" spans="1:25" ht="15.75" customHeight="1" x14ac:dyDescent="0.2">
      <c r="A102" s="1" t="s">
        <v>25</v>
      </c>
      <c r="B102" s="12" t="s">
        <v>358</v>
      </c>
      <c r="C102" s="12">
        <v>10</v>
      </c>
      <c r="D102" s="12">
        <v>0</v>
      </c>
      <c r="E102" s="12">
        <v>4</v>
      </c>
      <c r="F102" s="12" t="s">
        <v>27</v>
      </c>
      <c r="G102" s="12" t="s">
        <v>65</v>
      </c>
      <c r="H102" t="s">
        <v>28</v>
      </c>
      <c r="I102" t="s">
        <v>74</v>
      </c>
      <c r="J102" t="s">
        <v>30</v>
      </c>
      <c r="K102" t="s">
        <v>75</v>
      </c>
      <c r="L102" t="s">
        <v>76</v>
      </c>
      <c r="M102" t="s">
        <v>33</v>
      </c>
      <c r="N102" t="s">
        <v>77</v>
      </c>
      <c r="O102" t="s">
        <v>175</v>
      </c>
      <c r="P102" t="s">
        <v>255</v>
      </c>
      <c r="Q102" t="s">
        <v>97</v>
      </c>
      <c r="R102" t="s">
        <v>38</v>
      </c>
      <c r="S102" t="s">
        <v>359</v>
      </c>
      <c r="T102" t="s">
        <v>40</v>
      </c>
      <c r="U102" t="s">
        <v>416</v>
      </c>
      <c r="W102">
        <f>Table1[[#This Row],[Capacity MW]]*140000</f>
        <v>1400000</v>
      </c>
      <c r="X102">
        <f>Table1[[#This Row],[Capacity MW]]*1000*1500*0.025</f>
        <v>375000</v>
      </c>
      <c r="Y102">
        <f>Table1[[#This Row],[Capacity MW]]*1000*1500*0.025*0.496/1000</f>
        <v>186</v>
      </c>
    </row>
    <row r="103" spans="1:25" ht="15.75" customHeight="1" x14ac:dyDescent="0.2">
      <c r="A103" s="1" t="s">
        <v>25</v>
      </c>
      <c r="B103" s="12" t="s">
        <v>360</v>
      </c>
      <c r="C103" s="12">
        <v>8</v>
      </c>
      <c r="D103" s="12">
        <v>0</v>
      </c>
      <c r="E103" s="12">
        <v>3</v>
      </c>
      <c r="F103" s="12" t="s">
        <v>27</v>
      </c>
      <c r="G103" s="12" t="s">
        <v>65</v>
      </c>
      <c r="H103" t="s">
        <v>28</v>
      </c>
      <c r="I103" t="s">
        <v>74</v>
      </c>
      <c r="J103" t="s">
        <v>30</v>
      </c>
      <c r="K103" t="s">
        <v>75</v>
      </c>
      <c r="L103" t="s">
        <v>76</v>
      </c>
      <c r="M103" t="s">
        <v>33</v>
      </c>
      <c r="N103" t="s">
        <v>77</v>
      </c>
      <c r="O103" t="s">
        <v>342</v>
      </c>
      <c r="P103" t="s">
        <v>255</v>
      </c>
      <c r="Q103" t="s">
        <v>97</v>
      </c>
      <c r="R103" t="s">
        <v>38</v>
      </c>
      <c r="S103" t="s">
        <v>361</v>
      </c>
      <c r="T103" t="s">
        <v>40</v>
      </c>
      <c r="U103" t="s">
        <v>416</v>
      </c>
      <c r="W103">
        <f>Table1[[#This Row],[Capacity MW]]*140000</f>
        <v>1120000</v>
      </c>
      <c r="X103">
        <f>Table1[[#This Row],[Capacity MW]]*1000*1500*0.025</f>
        <v>300000</v>
      </c>
      <c r="Y103">
        <f>Table1[[#This Row],[Capacity MW]]*1000*1500*0.025*0.496/1000</f>
        <v>148.80000000000001</v>
      </c>
    </row>
    <row r="104" spans="1:25" ht="15.75" customHeight="1" x14ac:dyDescent="0.2">
      <c r="A104" s="1" t="s">
        <v>25</v>
      </c>
      <c r="B104" s="12" t="s">
        <v>362</v>
      </c>
      <c r="C104" s="12">
        <v>1</v>
      </c>
      <c r="D104" s="12">
        <v>0</v>
      </c>
      <c r="E104" s="12">
        <v>2</v>
      </c>
      <c r="F104" s="12" t="s">
        <v>27</v>
      </c>
      <c r="G104" s="12" t="s">
        <v>65</v>
      </c>
      <c r="H104" t="s">
        <v>28</v>
      </c>
      <c r="I104" t="s">
        <v>74</v>
      </c>
      <c r="J104" t="s">
        <v>30</v>
      </c>
      <c r="K104" t="s">
        <v>75</v>
      </c>
      <c r="L104" t="s">
        <v>76</v>
      </c>
      <c r="M104" t="s">
        <v>33</v>
      </c>
      <c r="N104" t="s">
        <v>77</v>
      </c>
      <c r="O104" t="s">
        <v>154</v>
      </c>
      <c r="P104" t="s">
        <v>255</v>
      </c>
      <c r="Q104" t="s">
        <v>97</v>
      </c>
      <c r="R104" t="s">
        <v>38</v>
      </c>
      <c r="S104" t="s">
        <v>363</v>
      </c>
      <c r="T104" t="s">
        <v>40</v>
      </c>
      <c r="U104" t="s">
        <v>416</v>
      </c>
      <c r="W104">
        <f>Table1[[#This Row],[Capacity MW]]*140000</f>
        <v>140000</v>
      </c>
      <c r="X104">
        <f>Table1[[#This Row],[Capacity MW]]*1000*1500*0.025</f>
        <v>37500</v>
      </c>
      <c r="Y104">
        <f>Table1[[#This Row],[Capacity MW]]*1000*1500*0.025*0.496/1000</f>
        <v>18.600000000000001</v>
      </c>
    </row>
    <row r="105" spans="1:25" ht="15.75" customHeight="1" x14ac:dyDescent="0.2">
      <c r="A105" s="1" t="s">
        <v>25</v>
      </c>
      <c r="B105" s="12" t="s">
        <v>364</v>
      </c>
      <c r="C105" s="12">
        <v>7</v>
      </c>
      <c r="D105" s="12">
        <v>0</v>
      </c>
      <c r="E105" s="12">
        <v>3</v>
      </c>
      <c r="F105" s="12" t="s">
        <v>27</v>
      </c>
      <c r="G105" s="12" t="s">
        <v>65</v>
      </c>
      <c r="H105" t="s">
        <v>28</v>
      </c>
      <c r="I105" t="s">
        <v>74</v>
      </c>
      <c r="J105" t="s">
        <v>30</v>
      </c>
      <c r="K105" t="s">
        <v>75</v>
      </c>
      <c r="L105" t="s">
        <v>76</v>
      </c>
      <c r="M105" t="s">
        <v>33</v>
      </c>
      <c r="N105" t="s">
        <v>77</v>
      </c>
      <c r="O105" t="s">
        <v>273</v>
      </c>
      <c r="P105" t="s">
        <v>255</v>
      </c>
      <c r="Q105" t="s">
        <v>97</v>
      </c>
      <c r="R105" t="s">
        <v>38</v>
      </c>
      <c r="S105" t="s">
        <v>365</v>
      </c>
      <c r="T105" t="s">
        <v>40</v>
      </c>
      <c r="U105" t="s">
        <v>416</v>
      </c>
      <c r="W105">
        <f>Table1[[#This Row],[Capacity MW]]*140000</f>
        <v>980000</v>
      </c>
      <c r="X105">
        <f>Table1[[#This Row],[Capacity MW]]*1000*1500*0.025</f>
        <v>262500</v>
      </c>
      <c r="Y105">
        <f>Table1[[#This Row],[Capacity MW]]*1000*1500*0.025*0.496/1000</f>
        <v>130.19999999999999</v>
      </c>
    </row>
    <row r="106" spans="1:25" ht="15.75" customHeight="1" x14ac:dyDescent="0.2">
      <c r="A106" s="1" t="s">
        <v>25</v>
      </c>
      <c r="B106" s="12" t="s">
        <v>366</v>
      </c>
      <c r="C106" s="12">
        <v>9</v>
      </c>
      <c r="D106" s="12">
        <v>0</v>
      </c>
      <c r="E106" s="12">
        <v>4</v>
      </c>
      <c r="F106" s="12" t="s">
        <v>27</v>
      </c>
      <c r="G106" s="12" t="s">
        <v>65</v>
      </c>
      <c r="H106" t="s">
        <v>28</v>
      </c>
      <c r="I106" t="s">
        <v>74</v>
      </c>
      <c r="J106" t="s">
        <v>30</v>
      </c>
      <c r="K106" t="s">
        <v>75</v>
      </c>
      <c r="L106" t="s">
        <v>76</v>
      </c>
      <c r="M106" t="s">
        <v>33</v>
      </c>
      <c r="N106" t="s">
        <v>77</v>
      </c>
      <c r="O106" t="s">
        <v>315</v>
      </c>
      <c r="P106" t="s">
        <v>255</v>
      </c>
      <c r="Q106" t="s">
        <v>97</v>
      </c>
      <c r="R106" t="s">
        <v>38</v>
      </c>
      <c r="S106" t="s">
        <v>367</v>
      </c>
      <c r="T106" t="s">
        <v>40</v>
      </c>
      <c r="U106" t="s">
        <v>416</v>
      </c>
      <c r="W106">
        <f>Table1[[#This Row],[Capacity MW]]*140000</f>
        <v>1260000</v>
      </c>
      <c r="X106">
        <f>Table1[[#This Row],[Capacity MW]]*1000*1500*0.025</f>
        <v>337500</v>
      </c>
      <c r="Y106">
        <f>Table1[[#This Row],[Capacity MW]]*1000*1500*0.025*0.496/1000</f>
        <v>167.4</v>
      </c>
    </row>
    <row r="107" spans="1:25" ht="15.75" customHeight="1" x14ac:dyDescent="0.2">
      <c r="A107" s="1" t="s">
        <v>25</v>
      </c>
      <c r="B107" s="12" t="s">
        <v>368</v>
      </c>
      <c r="C107" s="12">
        <v>6</v>
      </c>
      <c r="D107" s="12">
        <v>0</v>
      </c>
      <c r="E107" s="12">
        <v>3</v>
      </c>
      <c r="F107" s="12" t="s">
        <v>27</v>
      </c>
      <c r="G107" s="12" t="s">
        <v>65</v>
      </c>
      <c r="H107" t="s">
        <v>28</v>
      </c>
      <c r="I107" t="s">
        <v>74</v>
      </c>
      <c r="J107" t="s">
        <v>30</v>
      </c>
      <c r="K107" t="s">
        <v>75</v>
      </c>
      <c r="L107" t="s">
        <v>76</v>
      </c>
      <c r="M107" t="s">
        <v>33</v>
      </c>
      <c r="N107" t="s">
        <v>77</v>
      </c>
      <c r="O107" t="s">
        <v>264</v>
      </c>
      <c r="P107" t="s">
        <v>255</v>
      </c>
      <c r="Q107" t="s">
        <v>97</v>
      </c>
      <c r="R107" t="s">
        <v>38</v>
      </c>
      <c r="S107" t="s">
        <v>369</v>
      </c>
      <c r="T107" t="s">
        <v>40</v>
      </c>
      <c r="U107" t="s">
        <v>416</v>
      </c>
      <c r="W107">
        <f>Table1[[#This Row],[Capacity MW]]*140000</f>
        <v>840000</v>
      </c>
      <c r="X107">
        <f>Table1[[#This Row],[Capacity MW]]*1000*1500*0.025</f>
        <v>225000</v>
      </c>
      <c r="Y107">
        <f>Table1[[#This Row],[Capacity MW]]*1000*1500*0.025*0.496/1000</f>
        <v>111.6</v>
      </c>
    </row>
    <row r="108" spans="1:25" ht="15.75" customHeight="1" x14ac:dyDescent="0.2">
      <c r="A108" s="1" t="s">
        <v>25</v>
      </c>
      <c r="B108" s="12" t="s">
        <v>370</v>
      </c>
      <c r="C108" s="12">
        <v>4</v>
      </c>
      <c r="D108" s="12">
        <v>0</v>
      </c>
      <c r="E108" s="12">
        <v>2</v>
      </c>
      <c r="F108" s="12" t="s">
        <v>27</v>
      </c>
      <c r="G108" s="12" t="s">
        <v>65</v>
      </c>
      <c r="H108" t="s">
        <v>28</v>
      </c>
      <c r="I108" t="s">
        <v>74</v>
      </c>
      <c r="J108" t="s">
        <v>30</v>
      </c>
      <c r="K108" t="s">
        <v>75</v>
      </c>
      <c r="L108" t="s">
        <v>76</v>
      </c>
      <c r="M108" t="s">
        <v>33</v>
      </c>
      <c r="N108" t="s">
        <v>77</v>
      </c>
      <c r="O108" t="s">
        <v>258</v>
      </c>
      <c r="P108" t="s">
        <v>255</v>
      </c>
      <c r="Q108" t="s">
        <v>97</v>
      </c>
      <c r="R108" t="s">
        <v>38</v>
      </c>
      <c r="S108" t="s">
        <v>371</v>
      </c>
      <c r="T108" t="s">
        <v>40</v>
      </c>
      <c r="U108" t="s">
        <v>416</v>
      </c>
      <c r="W108">
        <f>Table1[[#This Row],[Capacity MW]]*140000</f>
        <v>560000</v>
      </c>
      <c r="X108">
        <f>Table1[[#This Row],[Capacity MW]]*1000*1500*0.025</f>
        <v>150000</v>
      </c>
      <c r="Y108">
        <f>Table1[[#This Row],[Capacity MW]]*1000*1500*0.025*0.496/1000</f>
        <v>74.400000000000006</v>
      </c>
    </row>
    <row r="109" spans="1:25" ht="15.75" customHeight="1" x14ac:dyDescent="0.2">
      <c r="A109" s="1" t="s">
        <v>25</v>
      </c>
      <c r="B109" s="12" t="s">
        <v>372</v>
      </c>
      <c r="C109" s="12">
        <v>8</v>
      </c>
      <c r="D109" s="12">
        <v>0</v>
      </c>
      <c r="E109" s="12">
        <v>3</v>
      </c>
      <c r="F109" s="12" t="s">
        <v>27</v>
      </c>
      <c r="G109" s="12" t="s">
        <v>65</v>
      </c>
      <c r="H109" t="s">
        <v>28</v>
      </c>
      <c r="I109" t="s">
        <v>74</v>
      </c>
      <c r="J109" t="s">
        <v>30</v>
      </c>
      <c r="K109" t="s">
        <v>75</v>
      </c>
      <c r="L109" t="s">
        <v>76</v>
      </c>
      <c r="M109" t="s">
        <v>33</v>
      </c>
      <c r="N109" t="s">
        <v>77</v>
      </c>
      <c r="O109" t="s">
        <v>342</v>
      </c>
      <c r="P109" t="s">
        <v>255</v>
      </c>
      <c r="Q109" t="s">
        <v>97</v>
      </c>
      <c r="R109" t="s">
        <v>38</v>
      </c>
      <c r="S109" t="s">
        <v>373</v>
      </c>
      <c r="T109" t="s">
        <v>40</v>
      </c>
      <c r="U109" t="s">
        <v>416</v>
      </c>
      <c r="W109">
        <f>Table1[[#This Row],[Capacity MW]]*140000</f>
        <v>1120000</v>
      </c>
      <c r="X109">
        <f>Table1[[#This Row],[Capacity MW]]*1000*1500*0.025</f>
        <v>300000</v>
      </c>
      <c r="Y109">
        <f>Table1[[#This Row],[Capacity MW]]*1000*1500*0.025*0.496/1000</f>
        <v>148.80000000000001</v>
      </c>
    </row>
    <row r="110" spans="1:25" ht="15.75" customHeight="1" x14ac:dyDescent="0.2">
      <c r="A110" s="1" t="s">
        <v>25</v>
      </c>
      <c r="B110" s="12" t="s">
        <v>374</v>
      </c>
      <c r="C110" s="12">
        <v>5</v>
      </c>
      <c r="D110" s="12">
        <v>0</v>
      </c>
      <c r="E110" s="12">
        <v>2</v>
      </c>
      <c r="F110" s="12" t="s">
        <v>27</v>
      </c>
      <c r="G110" s="12" t="s">
        <v>65</v>
      </c>
      <c r="H110" t="s">
        <v>28</v>
      </c>
      <c r="I110" t="s">
        <v>74</v>
      </c>
      <c r="J110" t="s">
        <v>30</v>
      </c>
      <c r="K110" t="s">
        <v>75</v>
      </c>
      <c r="L110" t="s">
        <v>76</v>
      </c>
      <c r="M110" t="s">
        <v>33</v>
      </c>
      <c r="N110" t="s">
        <v>77</v>
      </c>
      <c r="O110" t="s">
        <v>106</v>
      </c>
      <c r="P110" t="s">
        <v>255</v>
      </c>
      <c r="Q110" t="s">
        <v>97</v>
      </c>
      <c r="R110" t="s">
        <v>38</v>
      </c>
      <c r="S110" t="s">
        <v>375</v>
      </c>
      <c r="T110" t="s">
        <v>40</v>
      </c>
      <c r="U110" t="s">
        <v>416</v>
      </c>
      <c r="W110">
        <f>Table1[[#This Row],[Capacity MW]]*140000</f>
        <v>700000</v>
      </c>
      <c r="X110">
        <f>Table1[[#This Row],[Capacity MW]]*1000*1500*0.025</f>
        <v>187500</v>
      </c>
      <c r="Y110">
        <f>Table1[[#This Row],[Capacity MW]]*1000*1500*0.025*0.496/1000</f>
        <v>93</v>
      </c>
    </row>
    <row r="111" spans="1:25" ht="15.75" customHeight="1" x14ac:dyDescent="0.2">
      <c r="A111" s="1" t="s">
        <v>25</v>
      </c>
      <c r="B111" s="12" t="s">
        <v>376</v>
      </c>
      <c r="C111" s="12">
        <v>10</v>
      </c>
      <c r="D111" s="12">
        <v>0</v>
      </c>
      <c r="E111" s="12">
        <v>4</v>
      </c>
      <c r="F111" s="12" t="s">
        <v>27</v>
      </c>
      <c r="G111" s="12" t="s">
        <v>65</v>
      </c>
      <c r="H111" t="s">
        <v>28</v>
      </c>
      <c r="I111" t="s">
        <v>74</v>
      </c>
      <c r="J111" t="s">
        <v>30</v>
      </c>
      <c r="K111" t="s">
        <v>75</v>
      </c>
      <c r="L111" t="s">
        <v>76</v>
      </c>
      <c r="M111" t="s">
        <v>33</v>
      </c>
      <c r="N111" t="s">
        <v>77</v>
      </c>
      <c r="O111" t="s">
        <v>175</v>
      </c>
      <c r="P111" t="s">
        <v>255</v>
      </c>
      <c r="Q111" t="s">
        <v>97</v>
      </c>
      <c r="R111" t="s">
        <v>38</v>
      </c>
      <c r="S111" t="s">
        <v>377</v>
      </c>
      <c r="T111" t="s">
        <v>40</v>
      </c>
      <c r="U111" t="s">
        <v>416</v>
      </c>
      <c r="W111">
        <f>Table1[[#This Row],[Capacity MW]]*140000</f>
        <v>1400000</v>
      </c>
      <c r="X111">
        <f>Table1[[#This Row],[Capacity MW]]*1000*1500*0.025</f>
        <v>375000</v>
      </c>
      <c r="Y111">
        <f>Table1[[#This Row],[Capacity MW]]*1000*1500*0.025*0.496/1000</f>
        <v>186</v>
      </c>
    </row>
    <row r="112" spans="1:25" ht="15.75" customHeight="1" x14ac:dyDescent="0.2">
      <c r="A112" s="1" t="s">
        <v>25</v>
      </c>
      <c r="B112" s="12" t="s">
        <v>378</v>
      </c>
      <c r="C112" s="12">
        <v>5</v>
      </c>
      <c r="D112" s="12">
        <v>0</v>
      </c>
      <c r="E112" s="12">
        <v>2</v>
      </c>
      <c r="F112" s="12" t="s">
        <v>27</v>
      </c>
      <c r="G112" s="12" t="s">
        <v>65</v>
      </c>
      <c r="H112" t="s">
        <v>28</v>
      </c>
      <c r="I112" t="s">
        <v>74</v>
      </c>
      <c r="J112" t="s">
        <v>30</v>
      </c>
      <c r="K112" t="s">
        <v>75</v>
      </c>
      <c r="L112" t="s">
        <v>76</v>
      </c>
      <c r="M112" t="s">
        <v>33</v>
      </c>
      <c r="N112" t="s">
        <v>77</v>
      </c>
      <c r="O112" t="s">
        <v>106</v>
      </c>
      <c r="P112" t="s">
        <v>255</v>
      </c>
      <c r="Q112" t="s">
        <v>97</v>
      </c>
      <c r="R112" t="s">
        <v>38</v>
      </c>
      <c r="S112" t="s">
        <v>379</v>
      </c>
      <c r="T112" t="s">
        <v>40</v>
      </c>
      <c r="U112" t="s">
        <v>416</v>
      </c>
      <c r="W112">
        <f>Table1[[#This Row],[Capacity MW]]*140000</f>
        <v>700000</v>
      </c>
      <c r="X112">
        <f>Table1[[#This Row],[Capacity MW]]*1000*1500*0.025</f>
        <v>187500</v>
      </c>
      <c r="Y112">
        <f>Table1[[#This Row],[Capacity MW]]*1000*1500*0.025*0.496/1000</f>
        <v>93</v>
      </c>
    </row>
    <row r="113" spans="1:25" ht="15.75" customHeight="1" x14ac:dyDescent="0.2">
      <c r="A113" s="1" t="s">
        <v>25</v>
      </c>
      <c r="B113" s="12" t="s">
        <v>380</v>
      </c>
      <c r="C113" s="12">
        <v>10</v>
      </c>
      <c r="D113" s="12">
        <v>0</v>
      </c>
      <c r="E113" s="12">
        <v>4</v>
      </c>
      <c r="F113" s="12" t="s">
        <v>27</v>
      </c>
      <c r="G113" s="12" t="s">
        <v>65</v>
      </c>
      <c r="H113" t="s">
        <v>28</v>
      </c>
      <c r="I113" t="s">
        <v>74</v>
      </c>
      <c r="J113" t="s">
        <v>30</v>
      </c>
      <c r="K113" t="s">
        <v>75</v>
      </c>
      <c r="L113" t="s">
        <v>76</v>
      </c>
      <c r="M113" t="s">
        <v>33</v>
      </c>
      <c r="N113" t="s">
        <v>77</v>
      </c>
      <c r="O113" t="s">
        <v>175</v>
      </c>
      <c r="P113" t="s">
        <v>255</v>
      </c>
      <c r="Q113" t="s">
        <v>97</v>
      </c>
      <c r="R113" t="s">
        <v>38</v>
      </c>
      <c r="S113" t="s">
        <v>381</v>
      </c>
      <c r="T113" t="s">
        <v>40</v>
      </c>
      <c r="U113" t="s">
        <v>416</v>
      </c>
      <c r="W113">
        <f>Table1[[#This Row],[Capacity MW]]*140000</f>
        <v>1400000</v>
      </c>
      <c r="X113">
        <f>Table1[[#This Row],[Capacity MW]]*1000*1500*0.025</f>
        <v>375000</v>
      </c>
      <c r="Y113">
        <f>Table1[[#This Row],[Capacity MW]]*1000*1500*0.025*0.496/1000</f>
        <v>186</v>
      </c>
    </row>
    <row r="114" spans="1:25" ht="15.75" customHeight="1" x14ac:dyDescent="0.2">
      <c r="A114" s="1" t="s">
        <v>25</v>
      </c>
      <c r="B114" s="12" t="s">
        <v>382</v>
      </c>
      <c r="C114" s="12">
        <v>10</v>
      </c>
      <c r="D114" s="12">
        <v>0</v>
      </c>
      <c r="E114" s="12">
        <v>4</v>
      </c>
      <c r="F114" s="12" t="s">
        <v>27</v>
      </c>
      <c r="G114" s="12" t="s">
        <v>65</v>
      </c>
      <c r="H114" t="s">
        <v>28</v>
      </c>
      <c r="I114" t="s">
        <v>74</v>
      </c>
      <c r="J114" t="s">
        <v>30</v>
      </c>
      <c r="K114" t="s">
        <v>75</v>
      </c>
      <c r="L114" t="s">
        <v>76</v>
      </c>
      <c r="M114" t="s">
        <v>33</v>
      </c>
      <c r="N114" t="s">
        <v>77</v>
      </c>
      <c r="O114" t="s">
        <v>175</v>
      </c>
      <c r="P114" t="s">
        <v>255</v>
      </c>
      <c r="Q114" t="s">
        <v>97</v>
      </c>
      <c r="R114" t="s">
        <v>38</v>
      </c>
      <c r="S114" t="s">
        <v>383</v>
      </c>
      <c r="T114" t="s">
        <v>40</v>
      </c>
      <c r="U114" t="s">
        <v>416</v>
      </c>
      <c r="W114">
        <f>Table1[[#This Row],[Capacity MW]]*140000</f>
        <v>1400000</v>
      </c>
      <c r="X114">
        <f>Table1[[#This Row],[Capacity MW]]*1000*1500*0.025</f>
        <v>375000</v>
      </c>
      <c r="Y114">
        <f>Table1[[#This Row],[Capacity MW]]*1000*1500*0.025*0.496/1000</f>
        <v>186</v>
      </c>
    </row>
    <row r="115" spans="1:25" ht="15.75" customHeight="1" x14ac:dyDescent="0.2">
      <c r="A115" s="1" t="s">
        <v>25</v>
      </c>
      <c r="B115" s="12" t="s">
        <v>384</v>
      </c>
      <c r="C115" s="12">
        <v>3</v>
      </c>
      <c r="D115" s="12">
        <v>0</v>
      </c>
      <c r="E115" s="12">
        <v>2</v>
      </c>
      <c r="F115" s="12" t="s">
        <v>27</v>
      </c>
      <c r="G115" s="12" t="s">
        <v>65</v>
      </c>
      <c r="H115" t="s">
        <v>28</v>
      </c>
      <c r="I115" t="s">
        <v>74</v>
      </c>
      <c r="J115" t="s">
        <v>30</v>
      </c>
      <c r="K115" t="s">
        <v>75</v>
      </c>
      <c r="L115" t="s">
        <v>76</v>
      </c>
      <c r="M115" t="s">
        <v>33</v>
      </c>
      <c r="N115" t="s">
        <v>77</v>
      </c>
      <c r="O115" t="s">
        <v>236</v>
      </c>
      <c r="P115" t="s">
        <v>255</v>
      </c>
      <c r="Q115" t="s">
        <v>97</v>
      </c>
      <c r="R115" t="s">
        <v>38</v>
      </c>
      <c r="S115" t="s">
        <v>385</v>
      </c>
      <c r="T115" t="s">
        <v>40</v>
      </c>
      <c r="U115" t="s">
        <v>416</v>
      </c>
      <c r="W115">
        <f>Table1[[#This Row],[Capacity MW]]*140000</f>
        <v>420000</v>
      </c>
      <c r="X115">
        <f>Table1[[#This Row],[Capacity MW]]*1000*1500*0.025</f>
        <v>112500</v>
      </c>
      <c r="Y115">
        <f>Table1[[#This Row],[Capacity MW]]*1000*1500*0.025*0.496/1000</f>
        <v>55.8</v>
      </c>
    </row>
    <row r="116" spans="1:25" ht="15.75" customHeight="1" x14ac:dyDescent="0.2">
      <c r="A116" s="1" t="s">
        <v>25</v>
      </c>
      <c r="B116" s="12" t="s">
        <v>386</v>
      </c>
      <c r="C116" s="12">
        <v>10</v>
      </c>
      <c r="D116" s="12">
        <v>0</v>
      </c>
      <c r="E116" s="12">
        <v>4</v>
      </c>
      <c r="F116" s="12" t="s">
        <v>27</v>
      </c>
      <c r="G116" s="12" t="s">
        <v>65</v>
      </c>
      <c r="H116" t="s">
        <v>28</v>
      </c>
      <c r="I116" t="s">
        <v>74</v>
      </c>
      <c r="J116" t="s">
        <v>30</v>
      </c>
      <c r="K116" t="s">
        <v>75</v>
      </c>
      <c r="L116" t="s">
        <v>76</v>
      </c>
      <c r="M116" t="s">
        <v>33</v>
      </c>
      <c r="N116" t="s">
        <v>77</v>
      </c>
      <c r="O116" t="s">
        <v>175</v>
      </c>
      <c r="P116" t="s">
        <v>255</v>
      </c>
      <c r="Q116" t="s">
        <v>97</v>
      </c>
      <c r="R116" t="s">
        <v>38</v>
      </c>
      <c r="S116" t="s">
        <v>387</v>
      </c>
      <c r="T116" t="s">
        <v>40</v>
      </c>
      <c r="U116" t="s">
        <v>416</v>
      </c>
      <c r="W116">
        <f>Table1[[#This Row],[Capacity MW]]*140000</f>
        <v>1400000</v>
      </c>
      <c r="X116">
        <f>Table1[[#This Row],[Capacity MW]]*1000*1500*0.025</f>
        <v>375000</v>
      </c>
      <c r="Y116">
        <f>Table1[[#This Row],[Capacity MW]]*1000*1500*0.025*0.496/1000</f>
        <v>186</v>
      </c>
    </row>
    <row r="117" spans="1:25" ht="15.75" customHeight="1" x14ac:dyDescent="0.2">
      <c r="A117" s="1" t="s">
        <v>25</v>
      </c>
      <c r="B117" s="12" t="s">
        <v>388</v>
      </c>
      <c r="C117" s="12">
        <v>2</v>
      </c>
      <c r="D117" s="12">
        <v>0</v>
      </c>
      <c r="E117" s="12">
        <v>2</v>
      </c>
      <c r="F117" s="12" t="s">
        <v>27</v>
      </c>
      <c r="G117" s="12" t="s">
        <v>65</v>
      </c>
      <c r="H117" t="s">
        <v>28</v>
      </c>
      <c r="I117" t="s">
        <v>74</v>
      </c>
      <c r="J117" t="s">
        <v>30</v>
      </c>
      <c r="K117" t="s">
        <v>75</v>
      </c>
      <c r="L117" t="s">
        <v>76</v>
      </c>
      <c r="M117" t="s">
        <v>33</v>
      </c>
      <c r="N117" t="s">
        <v>77</v>
      </c>
      <c r="O117" t="s">
        <v>261</v>
      </c>
      <c r="P117" t="s">
        <v>255</v>
      </c>
      <c r="Q117" t="s">
        <v>97</v>
      </c>
      <c r="R117" t="s">
        <v>38</v>
      </c>
      <c r="S117" t="s">
        <v>389</v>
      </c>
      <c r="T117" t="s">
        <v>40</v>
      </c>
      <c r="U117" t="s">
        <v>416</v>
      </c>
      <c r="W117">
        <f>Table1[[#This Row],[Capacity MW]]*140000</f>
        <v>280000</v>
      </c>
      <c r="X117">
        <f>Table1[[#This Row],[Capacity MW]]*1000*1500*0.025</f>
        <v>75000</v>
      </c>
      <c r="Y117">
        <f>Table1[[#This Row],[Capacity MW]]*1000*1500*0.025*0.496/1000</f>
        <v>37.200000000000003</v>
      </c>
    </row>
    <row r="118" spans="1:25" ht="15.75" customHeight="1" x14ac:dyDescent="0.2">
      <c r="A118" s="1" t="s">
        <v>25</v>
      </c>
      <c r="B118" s="12" t="s">
        <v>390</v>
      </c>
      <c r="C118" s="12">
        <v>6</v>
      </c>
      <c r="D118" s="12">
        <v>0</v>
      </c>
      <c r="E118" s="12">
        <v>3</v>
      </c>
      <c r="F118" s="12" t="s">
        <v>27</v>
      </c>
      <c r="G118" s="12" t="s">
        <v>65</v>
      </c>
      <c r="H118" t="s">
        <v>28</v>
      </c>
      <c r="I118" t="s">
        <v>74</v>
      </c>
      <c r="J118" t="s">
        <v>30</v>
      </c>
      <c r="K118" t="s">
        <v>75</v>
      </c>
      <c r="L118" t="s">
        <v>76</v>
      </c>
      <c r="M118" t="s">
        <v>33</v>
      </c>
      <c r="N118" t="s">
        <v>77</v>
      </c>
      <c r="O118" t="s">
        <v>264</v>
      </c>
      <c r="P118" t="s">
        <v>255</v>
      </c>
      <c r="Q118" t="s">
        <v>97</v>
      </c>
      <c r="R118" t="s">
        <v>38</v>
      </c>
      <c r="S118" t="s">
        <v>391</v>
      </c>
      <c r="T118" t="s">
        <v>40</v>
      </c>
      <c r="U118" t="s">
        <v>416</v>
      </c>
      <c r="W118">
        <f>Table1[[#This Row],[Capacity MW]]*140000</f>
        <v>840000</v>
      </c>
      <c r="X118">
        <f>Table1[[#This Row],[Capacity MW]]*1000*1500*0.025</f>
        <v>225000</v>
      </c>
      <c r="Y118">
        <f>Table1[[#This Row],[Capacity MW]]*1000*1500*0.025*0.496/1000</f>
        <v>111.6</v>
      </c>
    </row>
    <row r="119" spans="1:25" ht="15.75" customHeight="1" x14ac:dyDescent="0.2">
      <c r="A119" s="1" t="s">
        <v>25</v>
      </c>
      <c r="B119" s="12" t="s">
        <v>392</v>
      </c>
      <c r="C119" s="12">
        <v>7</v>
      </c>
      <c r="D119" s="12">
        <v>0</v>
      </c>
      <c r="E119" s="12">
        <v>3</v>
      </c>
      <c r="F119" s="12" t="s">
        <v>27</v>
      </c>
      <c r="G119" s="12" t="s">
        <v>65</v>
      </c>
      <c r="H119" t="s">
        <v>28</v>
      </c>
      <c r="I119" t="s">
        <v>74</v>
      </c>
      <c r="J119" t="s">
        <v>30</v>
      </c>
      <c r="K119" t="s">
        <v>75</v>
      </c>
      <c r="L119" t="s">
        <v>76</v>
      </c>
      <c r="M119" t="s">
        <v>33</v>
      </c>
      <c r="N119" t="s">
        <v>77</v>
      </c>
      <c r="O119" t="s">
        <v>273</v>
      </c>
      <c r="P119" t="s">
        <v>255</v>
      </c>
      <c r="Q119" t="s">
        <v>97</v>
      </c>
      <c r="R119" t="s">
        <v>38</v>
      </c>
      <c r="S119" t="s">
        <v>393</v>
      </c>
      <c r="T119" t="s">
        <v>40</v>
      </c>
      <c r="U119" t="s">
        <v>416</v>
      </c>
      <c r="W119">
        <f>Table1[[#This Row],[Capacity MW]]*140000</f>
        <v>980000</v>
      </c>
      <c r="X119">
        <f>Table1[[#This Row],[Capacity MW]]*1000*1500*0.025</f>
        <v>262500</v>
      </c>
      <c r="Y119">
        <f>Table1[[#This Row],[Capacity MW]]*1000*1500*0.025*0.496/1000</f>
        <v>130.19999999999999</v>
      </c>
    </row>
    <row r="120" spans="1:25" ht="15.75" customHeight="1" x14ac:dyDescent="0.2">
      <c r="A120" s="1" t="s">
        <v>25</v>
      </c>
      <c r="B120" s="12" t="s">
        <v>394</v>
      </c>
      <c r="C120" s="12">
        <v>8</v>
      </c>
      <c r="D120" s="12">
        <v>0</v>
      </c>
      <c r="E120" s="12">
        <v>3</v>
      </c>
      <c r="F120" s="12" t="s">
        <v>27</v>
      </c>
      <c r="G120" s="12" t="s">
        <v>65</v>
      </c>
      <c r="H120" t="s">
        <v>28</v>
      </c>
      <c r="I120" t="s">
        <v>74</v>
      </c>
      <c r="J120" t="s">
        <v>30</v>
      </c>
      <c r="K120" t="s">
        <v>75</v>
      </c>
      <c r="L120" t="s">
        <v>76</v>
      </c>
      <c r="M120" t="s">
        <v>33</v>
      </c>
      <c r="N120" t="s">
        <v>77</v>
      </c>
      <c r="O120" t="s">
        <v>342</v>
      </c>
      <c r="P120" t="s">
        <v>255</v>
      </c>
      <c r="Q120" t="s">
        <v>97</v>
      </c>
      <c r="R120" t="s">
        <v>38</v>
      </c>
      <c r="S120" t="s">
        <v>395</v>
      </c>
      <c r="T120" t="s">
        <v>40</v>
      </c>
      <c r="U120" t="s">
        <v>416</v>
      </c>
      <c r="W120">
        <f>Table1[[#This Row],[Capacity MW]]*140000</f>
        <v>1120000</v>
      </c>
      <c r="X120">
        <f>Table1[[#This Row],[Capacity MW]]*1000*1500*0.025</f>
        <v>300000</v>
      </c>
      <c r="Y120">
        <f>Table1[[#This Row],[Capacity MW]]*1000*1500*0.025*0.496/1000</f>
        <v>148.80000000000001</v>
      </c>
    </row>
    <row r="121" spans="1:25" ht="15.75" customHeight="1" x14ac:dyDescent="0.2">
      <c r="A121" s="1" t="s">
        <v>25</v>
      </c>
      <c r="B121" s="12" t="s">
        <v>396</v>
      </c>
      <c r="C121" s="12">
        <v>6</v>
      </c>
      <c r="D121" s="12">
        <v>0</v>
      </c>
      <c r="E121" s="12">
        <v>3</v>
      </c>
      <c r="F121" s="12" t="s">
        <v>27</v>
      </c>
      <c r="G121" s="12" t="s">
        <v>65</v>
      </c>
      <c r="H121" t="s">
        <v>28</v>
      </c>
      <c r="I121" t="s">
        <v>74</v>
      </c>
      <c r="J121" t="s">
        <v>30</v>
      </c>
      <c r="K121" t="s">
        <v>75</v>
      </c>
      <c r="L121" t="s">
        <v>76</v>
      </c>
      <c r="M121" t="s">
        <v>33</v>
      </c>
      <c r="N121" t="s">
        <v>77</v>
      </c>
      <c r="O121" t="s">
        <v>264</v>
      </c>
      <c r="P121" t="s">
        <v>255</v>
      </c>
      <c r="Q121" t="s">
        <v>97</v>
      </c>
      <c r="R121" t="s">
        <v>38</v>
      </c>
      <c r="S121" t="s">
        <v>397</v>
      </c>
      <c r="T121" t="s">
        <v>40</v>
      </c>
      <c r="U121" t="s">
        <v>416</v>
      </c>
      <c r="W121">
        <f>Table1[[#This Row],[Capacity MW]]*140000</f>
        <v>840000</v>
      </c>
      <c r="X121">
        <f>Table1[[#This Row],[Capacity MW]]*1000*1500*0.025</f>
        <v>225000</v>
      </c>
      <c r="Y121">
        <f>Table1[[#This Row],[Capacity MW]]*1000*1500*0.025*0.496/1000</f>
        <v>111.6</v>
      </c>
    </row>
    <row r="122" spans="1:25" ht="15.75" customHeight="1" x14ac:dyDescent="0.2">
      <c r="A122" s="1" t="s">
        <v>25</v>
      </c>
      <c r="B122" s="12" t="s">
        <v>398</v>
      </c>
      <c r="C122" s="12">
        <v>5</v>
      </c>
      <c r="D122" s="12">
        <v>0</v>
      </c>
      <c r="E122" s="12">
        <v>2</v>
      </c>
      <c r="F122" s="12" t="s">
        <v>27</v>
      </c>
      <c r="G122" s="12" t="s">
        <v>65</v>
      </c>
      <c r="H122" t="s">
        <v>28</v>
      </c>
      <c r="I122" t="s">
        <v>74</v>
      </c>
      <c r="J122" t="s">
        <v>30</v>
      </c>
      <c r="K122" t="s">
        <v>75</v>
      </c>
      <c r="L122" t="s">
        <v>76</v>
      </c>
      <c r="M122" t="s">
        <v>33</v>
      </c>
      <c r="N122" t="s">
        <v>77</v>
      </c>
      <c r="O122" t="s">
        <v>106</v>
      </c>
      <c r="P122" t="s">
        <v>255</v>
      </c>
      <c r="Q122" t="s">
        <v>97</v>
      </c>
      <c r="R122" t="s">
        <v>38</v>
      </c>
      <c r="S122" t="s">
        <v>399</v>
      </c>
      <c r="T122" t="s">
        <v>40</v>
      </c>
      <c r="U122" t="s">
        <v>416</v>
      </c>
      <c r="W122">
        <f>Table1[[#This Row],[Capacity MW]]*140000</f>
        <v>700000</v>
      </c>
      <c r="X122">
        <f>Table1[[#This Row],[Capacity MW]]*1000*1500*0.025</f>
        <v>187500</v>
      </c>
      <c r="Y122">
        <f>Table1[[#This Row],[Capacity MW]]*1000*1500*0.025*0.496/1000</f>
        <v>93</v>
      </c>
    </row>
    <row r="123" spans="1:25" ht="15.75" customHeight="1" x14ac:dyDescent="0.2">
      <c r="A123" s="1" t="s">
        <v>25</v>
      </c>
      <c r="B123" s="12" t="s">
        <v>400</v>
      </c>
      <c r="C123" s="12">
        <v>7</v>
      </c>
      <c r="D123" s="12">
        <v>0</v>
      </c>
      <c r="E123" s="12">
        <v>3</v>
      </c>
      <c r="F123" s="12" t="s">
        <v>27</v>
      </c>
      <c r="G123" s="12" t="s">
        <v>65</v>
      </c>
      <c r="H123" t="s">
        <v>28</v>
      </c>
      <c r="I123" t="s">
        <v>74</v>
      </c>
      <c r="J123" t="s">
        <v>30</v>
      </c>
      <c r="K123" t="s">
        <v>75</v>
      </c>
      <c r="L123" t="s">
        <v>76</v>
      </c>
      <c r="M123" t="s">
        <v>33</v>
      </c>
      <c r="N123" t="s">
        <v>77</v>
      </c>
      <c r="O123" t="s">
        <v>273</v>
      </c>
      <c r="P123" t="s">
        <v>255</v>
      </c>
      <c r="Q123" t="s">
        <v>97</v>
      </c>
      <c r="R123" t="s">
        <v>38</v>
      </c>
      <c r="S123" t="s">
        <v>401</v>
      </c>
      <c r="T123" t="s">
        <v>40</v>
      </c>
      <c r="U123" t="s">
        <v>416</v>
      </c>
      <c r="W123">
        <f>Table1[[#This Row],[Capacity MW]]*140000</f>
        <v>980000</v>
      </c>
      <c r="X123">
        <f>Table1[[#This Row],[Capacity MW]]*1000*1500*0.025</f>
        <v>262500</v>
      </c>
      <c r="Y123">
        <f>Table1[[#This Row],[Capacity MW]]*1000*1500*0.025*0.496/1000</f>
        <v>130.19999999999999</v>
      </c>
    </row>
    <row r="124" spans="1:25" ht="15.75" customHeight="1" x14ac:dyDescent="0.2">
      <c r="A124" s="1" t="s">
        <v>25</v>
      </c>
      <c r="B124" s="12" t="s">
        <v>402</v>
      </c>
      <c r="C124" s="12">
        <v>5</v>
      </c>
      <c r="D124" s="12">
        <v>0</v>
      </c>
      <c r="E124" s="12">
        <v>2</v>
      </c>
      <c r="F124" s="12" t="s">
        <v>27</v>
      </c>
      <c r="G124" s="12" t="s">
        <v>65</v>
      </c>
      <c r="H124" t="s">
        <v>28</v>
      </c>
      <c r="I124" t="s">
        <v>74</v>
      </c>
      <c r="J124" t="s">
        <v>30</v>
      </c>
      <c r="K124" t="s">
        <v>75</v>
      </c>
      <c r="L124" t="s">
        <v>76</v>
      </c>
      <c r="M124" t="s">
        <v>33</v>
      </c>
      <c r="N124" t="s">
        <v>77</v>
      </c>
      <c r="O124" t="s">
        <v>106</v>
      </c>
      <c r="P124" t="s">
        <v>255</v>
      </c>
      <c r="Q124" t="s">
        <v>97</v>
      </c>
      <c r="R124" t="s">
        <v>38</v>
      </c>
      <c r="S124" t="s">
        <v>403</v>
      </c>
      <c r="T124" t="s">
        <v>40</v>
      </c>
      <c r="U124" t="s">
        <v>416</v>
      </c>
      <c r="W124">
        <f>Table1[[#This Row],[Capacity MW]]*140000</f>
        <v>700000</v>
      </c>
      <c r="X124">
        <f>Table1[[#This Row],[Capacity MW]]*1000*1500*0.025</f>
        <v>187500</v>
      </c>
      <c r="Y124">
        <f>Table1[[#This Row],[Capacity MW]]*1000*1500*0.025*0.496/1000</f>
        <v>93</v>
      </c>
    </row>
    <row r="125" spans="1:25" ht="15.75" customHeight="1" x14ac:dyDescent="0.2">
      <c r="A125" s="1" t="s">
        <v>25</v>
      </c>
      <c r="B125" s="12" t="s">
        <v>404</v>
      </c>
      <c r="C125" s="12">
        <v>5</v>
      </c>
      <c r="D125" s="12">
        <v>0</v>
      </c>
      <c r="E125" s="12">
        <v>2</v>
      </c>
      <c r="F125" s="12" t="s">
        <v>27</v>
      </c>
      <c r="G125" s="12" t="s">
        <v>65</v>
      </c>
      <c r="H125" t="s">
        <v>28</v>
      </c>
      <c r="I125" t="s">
        <v>74</v>
      </c>
      <c r="J125" t="s">
        <v>30</v>
      </c>
      <c r="K125" t="s">
        <v>75</v>
      </c>
      <c r="L125" t="s">
        <v>76</v>
      </c>
      <c r="M125" t="s">
        <v>33</v>
      </c>
      <c r="N125" t="s">
        <v>77</v>
      </c>
      <c r="O125" t="s">
        <v>106</v>
      </c>
      <c r="P125" t="s">
        <v>255</v>
      </c>
      <c r="Q125" t="s">
        <v>97</v>
      </c>
      <c r="R125" t="s">
        <v>38</v>
      </c>
      <c r="S125" t="s">
        <v>405</v>
      </c>
      <c r="T125" t="s">
        <v>40</v>
      </c>
      <c r="U125" t="s">
        <v>416</v>
      </c>
      <c r="W125">
        <f>Table1[[#This Row],[Capacity MW]]*140000</f>
        <v>700000</v>
      </c>
      <c r="X125">
        <f>Table1[[#This Row],[Capacity MW]]*1000*1500*0.025</f>
        <v>187500</v>
      </c>
      <c r="Y125">
        <f>Table1[[#This Row],[Capacity MW]]*1000*1500*0.025*0.496/1000</f>
        <v>93</v>
      </c>
    </row>
    <row r="126" spans="1:25" ht="15.75" customHeight="1" x14ac:dyDescent="0.2">
      <c r="A126" s="1" t="s">
        <v>25</v>
      </c>
      <c r="B126" s="12" t="s">
        <v>406</v>
      </c>
      <c r="C126" s="12">
        <v>4</v>
      </c>
      <c r="D126" s="12">
        <v>0</v>
      </c>
      <c r="E126" s="12">
        <v>2</v>
      </c>
      <c r="F126" s="12" t="s">
        <v>27</v>
      </c>
      <c r="G126" s="12" t="s">
        <v>65</v>
      </c>
      <c r="H126" t="s">
        <v>28</v>
      </c>
      <c r="I126" t="s">
        <v>74</v>
      </c>
      <c r="J126" t="s">
        <v>30</v>
      </c>
      <c r="K126" t="s">
        <v>75</v>
      </c>
      <c r="L126" t="s">
        <v>76</v>
      </c>
      <c r="M126" t="s">
        <v>33</v>
      </c>
      <c r="N126" t="s">
        <v>77</v>
      </c>
      <c r="O126" t="s">
        <v>258</v>
      </c>
      <c r="P126" t="s">
        <v>255</v>
      </c>
      <c r="Q126" t="s">
        <v>97</v>
      </c>
      <c r="R126" t="s">
        <v>38</v>
      </c>
      <c r="S126" t="s">
        <v>407</v>
      </c>
      <c r="T126" t="s">
        <v>40</v>
      </c>
      <c r="U126" t="s">
        <v>416</v>
      </c>
      <c r="W126">
        <f>Table1[[#This Row],[Capacity MW]]*140000</f>
        <v>560000</v>
      </c>
      <c r="X126">
        <f>Table1[[#This Row],[Capacity MW]]*1000*1500*0.025</f>
        <v>150000</v>
      </c>
      <c r="Y126">
        <f>Table1[[#This Row],[Capacity MW]]*1000*1500*0.025*0.496/1000</f>
        <v>74.400000000000006</v>
      </c>
    </row>
    <row r="127" spans="1:25" ht="15.75" customHeight="1" x14ac:dyDescent="0.2">
      <c r="A127" s="1" t="s">
        <v>25</v>
      </c>
      <c r="B127" s="12" t="s">
        <v>408</v>
      </c>
      <c r="C127" s="12">
        <v>5</v>
      </c>
      <c r="D127" s="12">
        <v>0</v>
      </c>
      <c r="E127" s="12">
        <v>2</v>
      </c>
      <c r="F127" s="12" t="s">
        <v>27</v>
      </c>
      <c r="G127" s="12" t="s">
        <v>65</v>
      </c>
      <c r="H127" t="s">
        <v>28</v>
      </c>
      <c r="I127" t="s">
        <v>74</v>
      </c>
      <c r="J127" t="s">
        <v>30</v>
      </c>
      <c r="K127" t="s">
        <v>75</v>
      </c>
      <c r="L127" t="s">
        <v>76</v>
      </c>
      <c r="M127" t="s">
        <v>33</v>
      </c>
      <c r="N127" t="s">
        <v>77</v>
      </c>
      <c r="O127" t="s">
        <v>106</v>
      </c>
      <c r="P127" t="s">
        <v>255</v>
      </c>
      <c r="Q127" t="s">
        <v>97</v>
      </c>
      <c r="R127" t="s">
        <v>38</v>
      </c>
      <c r="S127" t="s">
        <v>409</v>
      </c>
      <c r="T127" t="s">
        <v>40</v>
      </c>
      <c r="U127" t="s">
        <v>416</v>
      </c>
      <c r="W127">
        <f>Table1[[#This Row],[Capacity MW]]*140000</f>
        <v>700000</v>
      </c>
      <c r="X127">
        <f>Table1[[#This Row],[Capacity MW]]*1000*1500*0.025</f>
        <v>187500</v>
      </c>
      <c r="Y127">
        <f>Table1[[#This Row],[Capacity MW]]*1000*1500*0.025*0.496/1000</f>
        <v>93</v>
      </c>
    </row>
    <row r="128" spans="1:25" ht="15.75" customHeight="1" x14ac:dyDescent="0.2">
      <c r="A128" s="1" t="s">
        <v>25</v>
      </c>
      <c r="B128" s="12" t="s">
        <v>410</v>
      </c>
      <c r="C128" s="12">
        <v>3</v>
      </c>
      <c r="D128" s="12">
        <v>0</v>
      </c>
      <c r="E128" s="12">
        <v>2</v>
      </c>
      <c r="F128" s="12" t="s">
        <v>27</v>
      </c>
      <c r="G128" s="12" t="s">
        <v>65</v>
      </c>
      <c r="H128" t="s">
        <v>28</v>
      </c>
      <c r="I128" t="s">
        <v>74</v>
      </c>
      <c r="J128" t="s">
        <v>30</v>
      </c>
      <c r="K128" t="s">
        <v>75</v>
      </c>
      <c r="L128" t="s">
        <v>76</v>
      </c>
      <c r="M128" t="s">
        <v>33</v>
      </c>
      <c r="N128" t="s">
        <v>77</v>
      </c>
      <c r="O128" t="s">
        <v>236</v>
      </c>
      <c r="P128" t="s">
        <v>255</v>
      </c>
      <c r="Q128" t="s">
        <v>97</v>
      </c>
      <c r="R128" t="s">
        <v>38</v>
      </c>
      <c r="S128" t="s">
        <v>411</v>
      </c>
      <c r="T128" t="s">
        <v>40</v>
      </c>
      <c r="U128" t="s">
        <v>416</v>
      </c>
      <c r="W128">
        <f>Table1[[#This Row],[Capacity MW]]*140000</f>
        <v>420000</v>
      </c>
      <c r="X128">
        <f>Table1[[#This Row],[Capacity MW]]*1000*1500*0.025</f>
        <v>112500</v>
      </c>
      <c r="Y128">
        <f>Table1[[#This Row],[Capacity MW]]*1000*1500*0.025*0.496/1000</f>
        <v>55.8</v>
      </c>
    </row>
    <row r="129" spans="1:25" ht="15.75" customHeight="1" x14ac:dyDescent="0.2">
      <c r="A129" s="1" t="s">
        <v>25</v>
      </c>
      <c r="B129" s="12" t="s">
        <v>412</v>
      </c>
      <c r="C129" s="12">
        <v>5</v>
      </c>
      <c r="D129" s="12">
        <v>0</v>
      </c>
      <c r="E129" s="12">
        <v>2</v>
      </c>
      <c r="F129" s="12" t="s">
        <v>27</v>
      </c>
      <c r="G129" s="12" t="s">
        <v>65</v>
      </c>
      <c r="H129" t="s">
        <v>28</v>
      </c>
      <c r="I129" t="s">
        <v>74</v>
      </c>
      <c r="J129" t="s">
        <v>30</v>
      </c>
      <c r="K129" t="s">
        <v>75</v>
      </c>
      <c r="L129" t="s">
        <v>76</v>
      </c>
      <c r="M129" t="s">
        <v>33</v>
      </c>
      <c r="N129" t="s">
        <v>77</v>
      </c>
      <c r="O129" t="s">
        <v>106</v>
      </c>
      <c r="P129" t="s">
        <v>255</v>
      </c>
      <c r="Q129" t="s">
        <v>97</v>
      </c>
      <c r="R129" t="s">
        <v>38</v>
      </c>
      <c r="S129" t="s">
        <v>413</v>
      </c>
      <c r="T129" t="s">
        <v>40</v>
      </c>
      <c r="U129" t="s">
        <v>416</v>
      </c>
      <c r="W129">
        <f>Table1[[#This Row],[Capacity MW]]*140000</f>
        <v>700000</v>
      </c>
      <c r="X129">
        <f>Table1[[#This Row],[Capacity MW]]*1000*1500*0.025</f>
        <v>187500</v>
      </c>
      <c r="Y129">
        <f>Table1[[#This Row],[Capacity MW]]*1000*1500*0.025*0.496/1000</f>
        <v>93</v>
      </c>
    </row>
    <row r="130" spans="1:25" ht="15.75" customHeight="1" x14ac:dyDescent="0.2">
      <c r="A130" s="1" t="s">
        <v>25</v>
      </c>
      <c r="B130" s="12" t="s">
        <v>414</v>
      </c>
      <c r="C130" s="12">
        <v>5</v>
      </c>
      <c r="D130" s="12">
        <v>0</v>
      </c>
      <c r="E130" s="12">
        <v>2</v>
      </c>
      <c r="F130" s="12" t="s">
        <v>27</v>
      </c>
      <c r="G130" s="12" t="s">
        <v>65</v>
      </c>
      <c r="H130" t="s">
        <v>28</v>
      </c>
      <c r="I130" t="s">
        <v>74</v>
      </c>
      <c r="J130" t="s">
        <v>30</v>
      </c>
      <c r="K130" t="s">
        <v>75</v>
      </c>
      <c r="L130" t="s">
        <v>76</v>
      </c>
      <c r="M130" t="s">
        <v>33</v>
      </c>
      <c r="N130" t="s">
        <v>77</v>
      </c>
      <c r="O130" t="s">
        <v>106</v>
      </c>
      <c r="P130" t="s">
        <v>255</v>
      </c>
      <c r="Q130" t="s">
        <v>97</v>
      </c>
      <c r="R130" t="s">
        <v>38</v>
      </c>
      <c r="S130" t="s">
        <v>415</v>
      </c>
      <c r="T130" t="s">
        <v>40</v>
      </c>
      <c r="U130" t="s">
        <v>416</v>
      </c>
      <c r="W130">
        <f>Table1[[#This Row],[Capacity MW]]*140000</f>
        <v>700000</v>
      </c>
      <c r="X130">
        <f>Table1[[#This Row],[Capacity MW]]*1000*1500*0.025</f>
        <v>187500</v>
      </c>
      <c r="Y130">
        <f>Table1[[#This Row],[Capacity MW]]*1000*1500*0.025*0.496/1000</f>
        <v>93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Deployed Projects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Yogesh Kudale</dc:creator>
  <dc:description/>
  <cp:lastModifiedBy>Yogesh Kudale</cp:lastModifiedBy>
  <cp:revision>0</cp:revision>
  <dcterms:created xsi:type="dcterms:W3CDTF">2026-06-03T10:25:53Z</dcterms:created>
  <dcterms:modified xsi:type="dcterms:W3CDTF">2026-06-04T07:08:13Z</dcterms:modified>
  <dc:language>en-US</dc:language>
</cp:coreProperties>
</file>